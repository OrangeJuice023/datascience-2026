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e Matrix" sheetId="1" r:id="rId4"/>
    <sheet state="visible" name="Source Register" sheetId="2" r:id="rId5"/>
    <sheet state="visible" name="City Comparison" sheetId="3" r:id="rId6"/>
    <sheet state="visible" name="Gaps and To-Verify" sheetId="4" r:id="rId7"/>
    <sheet state="visible" name="Data Dictionary" sheetId="5" r:id="rId8"/>
  </sheets>
  <definedNames>
    <definedName hidden="1" localSheetId="0" name="_xlnm._FilterDatabase">'Evidence Matrix'!$A$4:$P$29</definedName>
    <definedName hidden="1" localSheetId="1" name="_xlnm._FilterDatabase">'Source Register'!$A$4:$I$16</definedName>
    <definedName hidden="1" localSheetId="2" name="_xlnm._FilterDatabase">'City Comparison'!$A$4:$K$8</definedName>
    <definedName hidden="1" localSheetId="3" name="_xlnm._FilterDatabase">'Gaps and To-Verify'!$A$4:$F$16</definedName>
    <definedName hidden="1" localSheetId="4" name="_xlnm._FilterDatabase">'Data Dictionary'!$A$1:$D$6</definedName>
  </definedNames>
  <calcPr/>
  <extLst>
    <ext uri="GoogleSheetsCustomDataVersion2">
      <go:sheetsCustomData xmlns:go="http://customooxmlschemas.google.com/" r:id="rId9" roundtripDataChecksum="zjEVz6wBtPtVY5qoApWqdppuOXwvturfAJ8JmSnkyLk="/>
    </ext>
  </extLst>
</workbook>
</file>

<file path=xl/sharedStrings.xml><?xml version="1.0" encoding="utf-8"?>
<sst xmlns="http://schemas.openxmlformats.org/spreadsheetml/2006/main" count="473" uniqueCount="326">
  <si>
    <t>City Comparison</t>
  </si>
  <si>
    <t>Gaps and To-Verify</t>
  </si>
  <si>
    <t>City/LGU</t>
  </si>
  <si>
    <t>Open question / missing record</t>
  </si>
  <si>
    <t>Related policy/program</t>
  </si>
  <si>
    <t>Owner</t>
  </si>
  <si>
    <t>Status</t>
  </si>
  <si>
    <t>Notes</t>
  </si>
  <si>
    <t>Quezon City</t>
  </si>
  <si>
    <t>Policy adoption</t>
  </si>
  <si>
    <t>Implementation</t>
  </si>
  <si>
    <t>Alert-to-response protocol</t>
  </si>
  <si>
    <t>Surveillance/Reporting capacity</t>
  </si>
  <si>
    <t>Budget/Resources</t>
  </si>
  <si>
    <t>Outcomes</t>
  </si>
  <si>
    <t>Implementation gaps</t>
  </si>
  <si>
    <t>Evidence rows</t>
  </si>
  <si>
    <t>Verified rows</t>
  </si>
  <si>
    <t>Obtain weekly city/barangay dengue case and death series for 2024-2026; definitions and outbreak-status clearance criteria</t>
  </si>
  <si>
    <t>LGU name check</t>
  </si>
  <si>
    <t>SIGMA City Evidence and Comparison Matrix</t>
  </si>
  <si>
    <t>2025 outbreak response</t>
  </si>
  <si>
    <t>City Health Department</t>
  </si>
  <si>
    <t>Open</t>
  </si>
  <si>
    <t>Source Register</t>
  </si>
  <si>
    <t>Annual report reports 90% decline by April 2025 and 123 barangays cleared, but underlying series/criteria are not attached.</t>
  </si>
  <si>
    <t>Reconcile planned procurement against award, delivery, payment and inventory for four FY2024 vermin-abatement lines</t>
  </si>
  <si>
    <t>Dengue program procurement</t>
  </si>
  <si>
    <t>QCHD / BAC / Accounting</t>
  </si>
  <si>
    <t>Documented program/plan; specific ordinance for 2025 response not established</t>
  </si>
  <si>
    <t>Four listed plan amounts sum to PHP 3.76m only; not total budget or actual spend.</t>
  </si>
  <si>
    <t>Retrieve FY2025/2026 dengue-specific budget, AIP, obligations and disbursements</t>
  </si>
  <si>
    <t>High: annual report documents 66 centers, interventions and outbreak-status claims</t>
  </si>
  <si>
    <t>Budget/resources</t>
  </si>
  <si>
    <t>Incomplete: no numeric alert trigger/SLA located</t>
  </si>
  <si>
    <t>City Budget Office / QCHD</t>
  </si>
  <si>
    <t>QCHIS and 66 centers; dengue-specific reporting cadence not published</t>
  </si>
  <si>
    <t>Source ID</t>
  </si>
  <si>
    <t>Partial: FY2024 procurement lines identified; actual spend requires verification</t>
  </si>
  <si>
    <t>Reported 90% decline by Apr 2025 and 123 barangays cleared; causal attribution not established</t>
  </si>
  <si>
    <t>Weekly case data, protocol, costs, action logs, definitions, independent evaluation</t>
  </si>
  <si>
    <t>Title</t>
  </si>
  <si>
    <t>Issuing agency</t>
  </si>
  <si>
    <t>Annual city budget total is not a dengue-specific budget.</t>
  </si>
  <si>
    <t>URL</t>
  </si>
  <si>
    <t>Pasig City</t>
  </si>
  <si>
    <t>Publication date</t>
  </si>
  <si>
    <t>Reference period</t>
  </si>
  <si>
    <t>Verify procurement table column labels, contract status, deliveries and payments for chemicals line</t>
  </si>
  <si>
    <t>Policy/Program</t>
  </si>
  <si>
    <t>Source type</t>
  </si>
  <si>
    <t>Dengue Task Force chemicals</t>
  </si>
  <si>
    <t>Date accessed</t>
  </si>
  <si>
    <t>City Health Department / BAC / Accounting</t>
  </si>
  <si>
    <t>Verified against original (Y/N)</t>
  </si>
  <si>
    <t>PHP 26.844m and PHP 26.233m appear in source row; do not assign accounting meaning without column review.</t>
  </si>
  <si>
    <t>S-001</t>
  </si>
  <si>
    <t>Evidence/Source URL</t>
  </si>
  <si>
    <t>Request weekly dengue counts/deaths and definition/time window supporting reported decline</t>
  </si>
  <si>
    <t>Dengue prevention package</t>
  </si>
  <si>
    <t>Period flag</t>
  </si>
  <si>
    <t>March 2025 city release has no numeric outcome series.</t>
  </si>
  <si>
    <t>Verification status</t>
  </si>
  <si>
    <t>Evidence notes</t>
  </si>
  <si>
    <t>Quezon City Local Government Annual Report July 2024-June 2025</t>
  </si>
  <si>
    <t>Davao City</t>
  </si>
  <si>
    <t>Get actual annual budget/AIP, obligations and disbursements for Ordinance 0401-20 program</t>
  </si>
  <si>
    <t>Mosquito-borne diseases program</t>
  </si>
  <si>
    <t>City Budget Office / CHO</t>
  </si>
  <si>
    <t>Quezon City Government</t>
  </si>
  <si>
    <t>Ordinance/IRR mandates activity but cited document has no peso allocation.</t>
  </si>
  <si>
    <t>Get barangay-level weekly case counts, deaths, population and reporting completeness for 2024-2026</t>
  </si>
  <si>
    <t>https://quezoncity.gov.ph/wp-content/uploads/2025/12/Quezon-City-Local-Government-Annual-Report-2024-2025.pdf</t>
  </si>
  <si>
    <t>Surveillance/outcomes</t>
  </si>
  <si>
    <t>CHO Tropical Diseases and Control Division</t>
  </si>
  <si>
    <t>Dengue prevention and control response (2025 outbreak response)</t>
  </si>
  <si>
    <t>Annual totals are source-reported, not independently verified or population-adjusted.</t>
  </si>
  <si>
    <t>Verify citation-ticket rollout date, counts issued, compliance and full ordinance text</t>
  </si>
  <si>
    <t>Enforcement</t>
  </si>
  <si>
    <t>CHO / City Legal Office / barangays</t>
  </si>
  <si>
    <t>Article says ticket details were still being finalized at time of publication.</t>
  </si>
  <si>
    <t>QC annual report documents dengue outbreak response in February 2025; no ordinance number or adoption date for the specific response protocol is stated.</t>
  </si>
  <si>
    <t>Bacolod City</t>
  </si>
  <si>
    <t>Download and review full text of Resolution 662, s.2025 and confirm legal status/date</t>
  </si>
  <si>
    <t>Dengue and leptospirosis intensification</t>
  </si>
  <si>
    <t>Sangguniang Panlungsod / CHO</t>
  </si>
  <si>
    <t>Official resolution index is not sufficient to confirm operative text or implementation.</t>
  </si>
  <si>
    <t>City Health Department intensified monitoring in high-risk areas; awareness and supplemental campaigns; all 66 health centers provided daily free dengue testing and consultations; targeted cleanup drives, fogging, spraying, and larviciding continued where cases were detected.</t>
  </si>
  <si>
    <t>Obtain implementation report, annual budget/AIP, procurement, weekly dengue data and outcomes</t>
  </si>
  <si>
    <t>Intensified monitoring in high-risk areas and early reporting are mentioned. No numeric trigger, alert recipient, response-time standard, or formal escalation pathway is specified.</t>
  </si>
  <si>
    <t>Resolution 662</t>
  </si>
  <si>
    <t>CHO / Budget Office</t>
  </si>
  <si>
    <t>66 health centers operated daily and QCHIS had 693,728 registered users as of June 2025. Dengue reporting cadence and data completeness are not stated.</t>
  </si>
  <si>
    <t>No dengue-specific 2025 appropriation/expenditure quantified in annual-report narrative. Separate FY2024 procurement plan includes dengue-program vermin-abatement items.</t>
  </si>
  <si>
    <t>No budget or outcome evidence established from index listing.</t>
  </si>
  <si>
    <t>Matched</t>
  </si>
  <si>
    <t>Source states: 90% drop in dengue cases by April 2025 and 123 barangays cleared from outbreak status. Administrative report, not independently evaluated causal impact.</t>
  </si>
  <si>
    <t>All pilot LGUs</t>
  </si>
  <si>
    <t>Need weekly case series, definition/time window for 90% decline, clearance criteria, intervention coverage, costs and causal evaluation.</t>
  </si>
  <si>
    <t>Document alert-to-action protocol: signal threshold, receiving officer, response deadline, required action, closure criteria and audit trail</t>
  </si>
  <si>
    <t>Dengue Task Force referenced; formal instrument not established in reviewed release</t>
  </si>
  <si>
    <t>SIGMA ACT integration</t>
  </si>
  <si>
    <t>Moderate: city release lists interventions; outcomes not quantified there</t>
  </si>
  <si>
    <t>City Health Office / DRRMO / barangays</t>
  </si>
  <si>
    <t>Incomplete: cluster-based fogging mentioned, no numeric threshold/SLA</t>
  </si>
  <si>
    <t>Hospital coordination and health aides mentioned; completeness metrics absent</t>
  </si>
  <si>
    <t>Essential for linking SIGMA EARS signal to action; EARS signal must not be presented as official outbreak declaration.</t>
  </si>
  <si>
    <t>Create data-sharing/governance agreement for weekly anonymized surveillance data with metadata and revisions</t>
  </si>
  <si>
    <t>SIGMA data pipeline</t>
  </si>
  <si>
    <t>LGU CHO / DOH Epidemiology Bureau</t>
  </si>
  <si>
    <t>Partial: FY2025 procurement row found; accounting interpretation and actual spend to verify</t>
  </si>
  <si>
    <t>Qualitative decline only in cited release; counts/time window missing</t>
  </si>
  <si>
    <t>Master proposal dataset covers 2016-2021, has uneven intervals, no population denominators/lab confirmation and is not real-time.</t>
  </si>
  <si>
    <t>Weekly case data, protocol, procurement reconciliation and intervention logs</t>
  </si>
  <si>
    <t>2025-12-15</t>
  </si>
  <si>
    <t>2024-2025</t>
  </si>
  <si>
    <t>Ordinance 0401-20 s.2020 and EO 15 s.2023 IRR located</t>
  </si>
  <si>
    <t>Official annual report</t>
  </si>
  <si>
    <t>Moderate-high: legal framework, task-force counts and annual case comparison located</t>
  </si>
  <si>
    <t>2026-10-19</t>
  </si>
  <si>
    <t>Incomplete: response structure exists, no numeric alert threshold/SLA located</t>
  </si>
  <si>
    <t>CHO Tropical Diseases Division and barangay task forces; completeness metrics absent</t>
  </si>
  <si>
    <t>No peso budget verified in reviewed sources</t>
  </si>
  <si>
    <t>3,335 cases in 2025 vs 7,157 in 2024; reported 53.54% decline, not causal proof</t>
  </si>
  <si>
    <t>Y</t>
  </si>
  <si>
    <t>Budget, barangay-level case series, action logs and response-time evidence</t>
  </si>
  <si>
    <t>S-002</t>
  </si>
  <si>
    <t>Quezon City Government Annual Procurement Plan FY 2024</t>
  </si>
  <si>
    <t>Quezon City Government / QCHD</t>
  </si>
  <si>
    <t>https://quezoncity.gov.ph/wp-content/uploads/2024/01/Annual-Procurement-Plan-F.Y.-2024.pdf</t>
  </si>
  <si>
    <t>After case-data period (2016-2021)</t>
  </si>
  <si>
    <t>Verified</t>
  </si>
  <si>
    <t>Official city annual report; reported outcome is an LGU claim, not proof of causality.</t>
  </si>
  <si>
    <t>National Aedes-Borne Disease (Dengue) Program procurement / vermin abatement supplies</t>
  </si>
  <si>
    <t>FY2024 Annual Procurement Plan lists QCHD procurement items under “National Aedes-Borne Disease (Dengue) Program”; plan is not itself an ordinance or proof of delivery.</t>
  </si>
  <si>
    <t>Planned first-quarter procurement includes Diflubenzuron PHP 750,000; Beta-cyfluthrin PHP 650,000; Etofenprox PHP 800,000; Clothianidin + Deltamethrin PHP 1,560,000. These are planned amounts, not confirmed expenditure.</t>
  </si>
  <si>
    <t>No alert-triggered operational protocol stated.</t>
  </si>
  <si>
    <t>QCHD and national dengue program label are identified; reporting frequency and completeness are not stated.</t>
  </si>
  <si>
    <t>Four listed plan amounts total PHP 3,760,000. This is not the total city dengue budget and may differ from awarded/paid amounts.</t>
  </si>
  <si>
    <t>No outcome reported in procurement plan.</t>
  </si>
  <si>
    <t>Match against PhilGEPS awards, POs, delivery/inspection, disbursement and inventory; verify quantities and actual use by barangay.</t>
  </si>
  <si>
    <t>Resolution index listing only; full text not verified</t>
  </si>
  <si>
    <t>Low: implementation evidence not located</t>
  </si>
  <si>
    <t>Not established</t>
  </si>
  <si>
    <t>Not established from index source</t>
  </si>
  <si>
    <t>No budget evidence in reviewed source</t>
  </si>
  <si>
    <t>No outcomes located in index</t>
  </si>
  <si>
    <t>Obtain full resolution, implementation, budget and outcomes</t>
  </si>
  <si>
    <t>2024-01</t>
  </si>
  <si>
    <t>FY2024</t>
  </si>
  <si>
    <t>Official procurement plan</t>
  </si>
  <si>
    <t>S-003</t>
  </si>
  <si>
    <t>Quezon City Development Thrusts and Priorities / performance targets</t>
  </si>
  <si>
    <t>https://www.quezoncity.gov.ph/wp-content/uploads/2020/09/DTP-Final-v1.pdf</t>
  </si>
  <si>
    <t>Amounts are planned procurement values for four identified lines only.</t>
  </si>
  <si>
    <t>Dengue Prevention &amp; Control Program (performance targets)</t>
  </si>
  <si>
    <t>City development/performance plan identifies a Dengue Prevention &amp; Control Program; objectives include reducing morbidity by 25% and mortality by 50%.</t>
  </si>
  <si>
    <t>Annual monitoring is indicated; Local Development Index is named as performance tool; Quezon City Health Department is listed as responsible office.</t>
  </si>
  <si>
    <t>No alert-to-response workflow specified.</t>
  </si>
  <si>
    <t>Performance table gives case/death indicators but no reporting cadence, geographic granularity or validation process.</t>
  </si>
  <si>
    <t>Plan says 100% of dengue prevention/control supplies should be city-funded by 2024; no peso appropriation or actual disbursement shown in the cited table.</t>
  </si>
  <si>
    <t>Document lists baseline of 19 cases and 39 deaths (2020 row) and targets of at most 14 cases and 29 deaths by 2022-2024. These are targets, not verified results.</t>
  </si>
  <si>
    <t>Obtain actual accomplishment reports; clarify baseline definitions and reconcile small baseline values with citywide surveillance before comparing.</t>
  </si>
  <si>
    <t>2020-09</t>
  </si>
  <si>
    <t>FY2020 baseline and FY2022-2024 targets</t>
  </si>
  <si>
    <t>Official development/performance plan</t>
  </si>
  <si>
    <t>S-004</t>
  </si>
  <si>
    <t>Pasig City: Patuloy na Pagbaba ng Kaso ng Dengue sa Pasig, Dahil sa Sama-samang Aksyon!</t>
  </si>
  <si>
    <t>Pasig City Government</t>
  </si>
  <si>
    <t>https://pasigcity.gov.ph/news-and-releases/patuloy-na-pagbaba-ng-kaso-ng-dengue-sa-pasig-dahil-sa-sama-samang-aksyon-465</t>
  </si>
  <si>
    <t>FY2020 baseline; FY2022-2024 targets</t>
  </si>
  <si>
    <t>Treat targets as intended values, not actual outcomes.</t>
  </si>
  <si>
    <t>Tab</t>
  </si>
  <si>
    <t>Dengue Task Force and community prevention package</t>
  </si>
  <si>
    <t>Official city release refers to a Pasig Dengue Task Force and city health-led efforts; ordinance number/date of formal creation not stated in this release.</t>
  </si>
  <si>
    <t>Cleanup drives; misting, spraying and fogging; IEC materials; fogging in public/private schools; thermal fogging in case clusters; coordination with hospitals to strengthen fast lanes; health education by Pasig Health Aides; larvicide placement; ovitraps.</t>
  </si>
  <si>
    <t>Thermal fogging described for areas with case clustering. No numeric threshold, alert recipient, response-time requirement or formal escalation process documented.</t>
  </si>
  <si>
    <t>Hospital coordination and health aide activities are described; reporting units, weekly reporting rules, staffing totals and missing-data metrics are not given.</t>
  </si>
  <si>
    <t>No specific budget quantified in news release. Separate procurement monitoring evidence identifies a City Health Office tender for chemicals for sanitation and dengue task force.</t>
  </si>
  <si>
    <t>Release says cases continued to decline but provides no case counts, comparison dates, denominator or independently verifiable series.</t>
  </si>
  <si>
    <t>Obtain weekly case/death data, ovitrap and larvicide logs, hospital fast-lane performance, community reach and cost; clarify decline calculation.</t>
  </si>
  <si>
    <t>Field</t>
  </si>
  <si>
    <t>Definition</t>
  </si>
  <si>
    <t>Allowed values / format</t>
  </si>
  <si>
    <t>Workbook scope</t>
  </si>
  <si>
    <t>Coverage</t>
  </si>
  <si>
    <t>This is a first evidence-backed comparative scan, not an exhaustive census of all Philippine LGUs. Deep evidence currently covers Quezon City, Pasig City, Davao City and a preliminary Bacolod City lead. Manila, Cebu, Iloilo and Cagayan de Oro are candidates pending evidence collection.</t>
  </si>
  <si>
    <t>Read alongside Source Register and Gaps and To-Verify</t>
  </si>
  <si>
    <t>Evidence standard</t>
  </si>
  <si>
    <t>Verified vs partially verified</t>
  </si>
  <si>
    <t>Verified means the cited official source was located and the specific statement is traceable to it; it does not mean the policy was independently audited or that reported effects are causal. Partially verified means only an index/listing was confirmed, not the full underlying instrument.</t>
  </si>
  <si>
    <t>Use source notes; do not treat claims as independent evaluation</t>
  </si>
  <si>
    <t>Budget distinction</t>
  </si>
  <si>
    <t>Separate proposed/approved budgets, procurement plan/ABC, contract award, obligations, disbursements, delivered quantities and actual expenditure. Never combine them as interchangeable values.</t>
  </si>
  <si>
    <t>Amounts are only quoted with their source context</t>
  </si>
  <si>
    <t>SIGMA alignment</t>
  </si>
  <si>
    <t>Data period limitation</t>
  </si>
  <si>
    <t>Master proposal describes the HDX dengue dataset as 32,701 records, 126 locations, 17 regions, 10 Jan 2016–10 Jan 2021; uneven intervals and missing values exist; no population denominators or lab confirmation; not real-time. Validate LGU-name joins against raw dataset before use.</t>
  </si>
  <si>
    <t>Do not imply these LGU policy rows are matched to case data yet</t>
  </si>
  <si>
    <t>SIGMA recommendation</t>
  </si>
  <si>
    <t>2025-03-06</t>
  </si>
  <si>
    <t>Minimum alert-to-action record</t>
  </si>
  <si>
    <t>Prior months through March 2025</t>
  </si>
  <si>
    <t>For each signal, log algorithm/version, input data vintage, geographic unit, alert date, threshold/signal rationale, receiving officer, action initiated, response time, action completion, closure reason and case follow-up. EARS signals are prompts for review, not official outbreak declarations.</t>
  </si>
  <si>
    <t>Proposed analytic recommendation, not existing LGU policy</t>
  </si>
  <si>
    <t>Official city news release</t>
  </si>
  <si>
    <t>S-005</t>
  </si>
  <si>
    <t>Pasig City 1st Semester Procurement Monitoring Report CY2025</t>
  </si>
  <si>
    <t>https://assets.pasigcity.gov.ph/storage/annual_procurement_plan/2025/07/13/68737fe0c9f2c17523998401st%20Semester%20Procurement%20Monitoring%20Report%20for%20CY%202025.pdf</t>
  </si>
  <si>
    <t>Official city post; outcome is qualitative, not quantified.</t>
  </si>
  <si>
    <t>City Health Office chemicals for sanitation and Dengue Task Force (procurement monitoring)</t>
  </si>
  <si>
    <t>Procurement monitoring report identifies chemicals for the Sanitation and Dengue Task Force under City Health Office; procurement evidence, not policy adoption.</t>
  </si>
  <si>
    <t xml:space="preserve">Source row lists PHP 26,844,192.00 and PHP 26,233,312.00 in amount fields. </t>
  </si>
  <si>
    <t>No trigger or alert-response protocol documented.</t>
  </si>
  <si>
    <t>Identifies City Health Office; no dengue surveillance completeness or staffing data.</t>
  </si>
  <si>
    <t>PHP 26,844,192.00 and PHP 26,233,312.00 appear in the row. Do not label either as actual expenditure without checking column headers and payment records.</t>
  </si>
  <si>
    <t>No health outcome in report.</t>
  </si>
  <si>
    <t>Review original table headers, PhilGEPS contract, PO, delivery, inspection, disbursement; separate dengue-only from shared sanitation allocation.</t>
  </si>
  <si>
    <t>2025-07</t>
  </si>
  <si>
    <t>H1 FY2025</t>
  </si>
  <si>
    <t>Official procurement monitoring report</t>
  </si>
  <si>
    <t>Pasig City Government / City Health Office</t>
  </si>
  <si>
    <t>S-006</t>
  </si>
  <si>
    <t>Davao City Ordinance 0401-20 implementing rules and regulations, EO No. 15 s.2023</t>
  </si>
  <si>
    <t>Figures copied from source row; accounting interpretation flagged for verification.</t>
  </si>
  <si>
    <t>Davao City Government</t>
  </si>
  <si>
    <t>https://www.davaocity.gov.ph/wp-content/uploads/2023/09/Signed_RCD-2023-90847_ASD092523-17-EO-25-23_compressed.pdf</t>
  </si>
  <si>
    <t>Mosquito-Borne Diseases Prevention and Control Program (Ordinance 0401-20 s.2020; EO 15 s.2023 IRR)</t>
  </si>
  <si>
    <t>Ordinance No. 0401-20, Series of 2020 establishes the program; EO No. 15, s.2023 promulgates implementing rules. Document names Inter-Agency Task Force and Barangay Mosquito-Borne Diseases Task Force.</t>
  </si>
  <si>
    <t>4S strategies: search/destroy breeding sites; self-protective measures; seek early consultation; support indoor/outdoor spraying and fogging. Barangay task forces are an implementation mechanism.</t>
  </si>
  <si>
    <t>Legal/community structure documented, but no SIGMA-compatible weekly numeric alert threshold, response-time SLA or trigger-to-action log found in reviewed excerpt.</t>
  </si>
  <si>
    <t>Barangay-level task-force structure is identified; reporting frequency, case completeness and system integration are not specified.</t>
  </si>
  <si>
    <t>No peso budget/expenditure in cited IRR. Separate funding documents required.</t>
  </si>
  <si>
    <t>No outcome metric in ordinance/IRR; see separate city health report evidence row.</t>
  </si>
  <si>
    <t>Obtain budget/AIP/obligations/liquidation, task-force coverage/functionality, activity logs and linkage of case clusters to response dates.</t>
  </si>
  <si>
    <t>2023-09</t>
  </si>
  <si>
    <t>2020 ordinance; 2023 IRR</t>
  </si>
  <si>
    <t>Ordinance/implementing rules</t>
  </si>
  <si>
    <t>Ordinance 2020; IRR 2023</t>
  </si>
  <si>
    <t>S-007</t>
  </si>
  <si>
    <t>City gov’t to barangays: Create Task Force vs dengue</t>
  </si>
  <si>
    <t>City Government of Davao</t>
  </si>
  <si>
    <t>Primary legal/administrative document; mandate is not proof of consistent implementation.</t>
  </si>
  <si>
    <t>https://davaocity.gov.ph/health/city-govt-to-barangays-create-task-force-vs-dengue/</t>
  </si>
  <si>
    <t>Barangay Mosquito-Borne Diseases Task Forces and 4S implementation</t>
  </si>
  <si>
    <t>CHO urged barangays to create task forces and referenced a city memorandum; this article is implementation communication, not the underlying legal instrument.</t>
  </si>
  <si>
    <t xml:space="preserve"> CHO planned a forum with barangay captains on structuring BMDTFs; barangays were directed to coordinate with Tropical Diseases Unit for IEC campaigns; city reiterated 4S.</t>
  </si>
  <si>
    <t>No numeric trigger or alert-to-response interval in article.</t>
  </si>
  <si>
    <t>CHO Tropical Diseases Unit and barangay coordination identified; no reporting coverage/completeness metrics.</t>
  </si>
  <si>
    <t>No budget amount in article.</t>
  </si>
  <si>
    <t>No outcome series in article.</t>
  </si>
  <si>
    <t>Obtain roster, establishment dates, activity logs and coverage by barangay; planned forum does not prove all barangays complied.</t>
  </si>
  <si>
    <t>2024 (site article)</t>
  </si>
  <si>
    <t>Implementation announcement</t>
  </si>
  <si>
    <t>S-008</t>
  </si>
  <si>
    <t>Citation tickets vs anti-mosquito borne diseases ordinance violators now ready</t>
  </si>
  <si>
    <t>https://davaocity.gov.ph/health/citation-tickets-vs-anti-mosquito-borne-diseases-ordinance-violators-now-ready/</t>
  </si>
  <si>
    <t>Implementation plans/instructions are not proof of completed implementation.</t>
  </si>
  <si>
    <t>Anti-mosquito-borne disease ordinance enforcement / citation tickets</t>
  </si>
  <si>
    <t>Graduated penalties reported: PHP 1,000 plus 2 hours community service (first offense); PHP 3,000 plus 4 hours (second); PHP 5,000 plus 4 hours (third).</t>
  </si>
  <si>
    <t>At time of report, ticket details were still being finalized before full implementation; 58 barangays had BMDTFs versus 35 same period previous year.</t>
  </si>
  <si>
    <t>No case-threshold trigger or health alert escalation protocol described.</t>
  </si>
  <si>
    <t>CHO reported Week 22 cases/deaths and age/location patterns; underlying surveillance extract needed.</t>
  </si>
  <si>
    <t>No implementation cost or enforcement revenue reported.</t>
  </si>
  <si>
    <t>At Week 22, CHO reported 1,682 cases vs 1,942 same period prior year; 12 deaths vs 18. Source-reported year-to-date comparison, not proof of causality.</t>
  </si>
  <si>
    <t>Confirm article date/week range, actual citations issued, compliance, barangay denominator and enforcement equity effects.</t>
  </si>
  <si>
    <t>2025 (site article)</t>
  </si>
  <si>
    <t>Week 22, 2025</t>
  </si>
  <si>
    <t>S-009</t>
  </si>
  <si>
    <t>Davao City 2025 dengue figure down vs 2024</t>
  </si>
  <si>
    <t>https://davaocity.gov.ph/health/davao-city-2025-dengue-figure-down-vs-2024/</t>
  </si>
  <si>
    <t>Week 22, 2025 (confirm date metadata)</t>
  </si>
  <si>
    <t>Counts and task-force numbers are reported by city official; attribution not established.</t>
  </si>
  <si>
    <t>Reported dengue cases: 2025 compared with 2024</t>
  </si>
  <si>
    <t>Article links response framework to Ordinance 0401-20 s.2020 and barangay task forces.</t>
  </si>
  <si>
    <t>CHO reported 72 Barangay Mosquito-Borne Diseases Task Forces in 2025.</t>
  </si>
  <si>
    <t>No numeric alert threshold or response-time data in release.</t>
  </si>
  <si>
    <t>CHO Tropical Diseases and Control Division is source for annual totals; completeness, case definition and sub-city reporting interval not disclosed.</t>
  </si>
  <si>
    <t>No dengue-specific expenditure disclosed.</t>
  </si>
  <si>
    <t>Source states 3,335 cases in 2025 vs 7,157 in 2024, a 53.54% decrease. City attributed decline to multiple factors including task forces; this is not a causal evaluation.</t>
  </si>
  <si>
    <t>Request weekly/barangay case series, deaths, denominators, task-force activity and budget; assess seasonality and confounders. Counts are not incidence rates.</t>
  </si>
  <si>
    <t>2026-01-29</t>
  </si>
  <si>
    <t>Calendar years 2024-2025</t>
  </si>
  <si>
    <t>Official city health update</t>
  </si>
  <si>
    <t>S-010</t>
  </si>
  <si>
    <t>Bacolod City 2025 Resolutions: City Resolution 662</t>
  </si>
  <si>
    <t>Bacolod City Government</t>
  </si>
  <si>
    <t>https://bacolodcity.gov.ph/2025-resolutions/</t>
  </si>
  <si>
    <t>Recent outcome datapoint; do not claim causal effect from before-after comparison alone.</t>
  </si>
  <si>
    <t>City Resolution 662 (2025): CHO and all barangays to intensify dengue and leptospirosis response</t>
  </si>
  <si>
    <t>Official 2025 resolutions index lists City Resolution 662, described as CHO and all barangays “mandating intensify dengue, leptospirosis.” Full text, exact legal form/date and mandates not yet reviewed.</t>
  </si>
  <si>
    <t>Index listing indicates City Health Office and all barangays focus; no activity completion details in index.</t>
  </si>
  <si>
    <t>2025</t>
  </si>
  <si>
    <t>Not established from index; retrieve full text to verify triggers, recipients, actions and escalation.</t>
  </si>
  <si>
    <t>Official council resolutions index</t>
  </si>
  <si>
    <t>Not established from index; obtain CHO reporting requirements and actual barangay coverage.</t>
  </si>
  <si>
    <t>No budget amount in index.</t>
  </si>
  <si>
    <t>No outcome in index.</t>
  </si>
  <si>
    <t>Obtain full resolution, implementation/accomplishment report, budget/AIP, weekly dengue counts and barangay action logs. Index listing does not prove implementation.</t>
  </si>
  <si>
    <t>S-011</t>
  </si>
  <si>
    <t>Republic Act No. 7160 (Local Government Code of 1991)</t>
  </si>
  <si>
    <t>Republic of the Philippines / Official Gazette</t>
  </si>
  <si>
    <t>https://officialgazette.gov.ph/1991/10/10/republic-act-no-7160/</t>
  </si>
  <si>
    <t>Partially verified</t>
  </si>
  <si>
    <t>Official index confirms listing only; underlying resolution has not been reviewed.</t>
  </si>
  <si>
    <t>Philippines (national framework; applies to LGUs)</t>
  </si>
  <si>
    <t>1991-10-10</t>
  </si>
  <si>
    <t>Local Government Code: local health planning and service delivery responsibilities</t>
  </si>
  <si>
    <t>Current statutory framework</t>
  </si>
  <si>
    <t>RA 7160 assigns local health officers responsibilities to formulate and implement health policies, plans, programs and projects and enforce public-health laws.</t>
  </si>
  <si>
    <t>Statute</t>
  </si>
  <si>
    <t>Statutory responsibility, not proof that any named LGU implemented a specific dengue program.</t>
  </si>
  <si>
    <t>No dengue-specific EARS threshold or SIGMA alert-to-action protocol in statute.</t>
  </si>
  <si>
    <t>S-012</t>
  </si>
  <si>
    <t>Does not establish city-level surveillance quality or completeness.</t>
  </si>
  <si>
    <t>DOH-Epi Dengue Data 2016-2021</t>
  </si>
  <si>
    <t>DOH Epidemiology Bureau via Humanitarian Data Exchange</t>
  </si>
  <si>
    <t>Does not establish any city’s dengue budget; use local budgets, AIPs, procurement and liquidation records.</t>
  </si>
  <si>
    <t>https://data.humdata.org/dataset/philippine-dengue-cases-and-deaths</t>
  </si>
  <si>
    <t>No dengue outcome in statute.</t>
  </si>
  <si>
    <t>For SIGMA, require named owner, alert recipient, action checklist, response deadline, closure criteria and auditable feedback loop, verified against local instruments and operating records.</t>
  </si>
  <si>
    <t>2022</t>
  </si>
  <si>
    <t>2016-01-10 to 2021-01-10</t>
  </si>
  <si>
    <t>Surveillance dataset cited in SIGMA master proposal</t>
  </si>
  <si>
    <t>Current framework</t>
  </si>
  <si>
    <t>Cross-cutting legal context; not city-specific evidence.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</si>
</sst>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rgb="FF000000"/>
      <name val="Century Gothic"/>
    </font>
    <font>
      <b/>
      <color rgb="FF000000"/>
      <name val="Century Gothic"/>
    </font>
    <font>
      <b/>
      <sz val="22.0"/>
      <color rgb="FFF3F3F3"/>
      <name val="Century Gothic"/>
    </font>
    <font>
      <b/>
      <sz val="10.0"/>
      <color rgb="FFFFFFFF"/>
      <name val="Calibri"/>
      <scheme val="minor"/>
    </font>
    <font>
      <sz val="10.0"/>
      <color rgb="FF000000"/>
      <name val="Century Gothic"/>
    </font>
    <font>
      <sz val="11.0"/>
      <color rgb="FF000000"/>
      <name val="Century Gothic"/>
    </font>
    <font>
      <sz val="11.0"/>
      <color theme="1"/>
      <name val="Century Gothic"/>
    </font>
    <font>
      <b/>
      <sz val="22.0"/>
      <color rgb="FFEFEFEF"/>
      <name val="Century Gothic"/>
    </font>
    <font>
      <b/>
      <sz val="12.0"/>
      <color rgb="FF000000"/>
      <name val="Century Gothic"/>
    </font>
    <font>
      <u/>
      <sz val="11.0"/>
      <color rgb="FF1155CC"/>
      <name val="Century Gothic"/>
    </font>
    <font>
      <u/>
      <sz val="11.0"/>
      <color rgb="FF1155CC"/>
      <name val="Century Gothic"/>
    </font>
    <font>
      <u/>
      <sz val="11.0"/>
      <color rgb="FF1155CC"/>
      <name val="Century Gothic"/>
    </font>
    <font>
      <sz val="11.0"/>
      <color rgb="FF1155CC"/>
      <name val="Century Gothic"/>
    </font>
    <font>
      <sz val="10.0"/>
      <color theme="1"/>
      <name val="Arial"/>
    </font>
    <font>
      <sz val="10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2" fontId="4" numFmtId="0" xfId="0" applyAlignment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shrinkToFit="0" vertical="top" wrapText="1"/>
    </xf>
    <xf borderId="0" fillId="2" fontId="6" numFmtId="0" xfId="0" applyAlignment="1" applyFill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shrinkToFit="0" vertical="top" wrapText="1"/>
    </xf>
    <xf borderId="0" fillId="2" fontId="8" numFmtId="0" xfId="0" applyAlignment="1" applyFill="1" applyFont="1">
      <alignment readingOrder="0" shrinkToFit="0" vertical="center" wrapText="1"/>
    </xf>
    <xf borderId="1" fillId="5" fontId="7" numFmtId="0" xfId="0" applyAlignment="1" applyBorder="1" applyFill="1" applyFont="1">
      <alignment shrinkToFit="0" vertical="top" wrapText="1"/>
    </xf>
    <xf borderId="1" fillId="3" fontId="6" numFmtId="0" xfId="0" applyAlignment="1" applyBorder="1" applyFill="1" applyFont="1">
      <alignment shrinkToFit="0" vertical="top" wrapText="1"/>
    </xf>
    <xf borderId="1" fillId="3" fontId="9" numFmtId="0" xfId="0" applyAlignment="1" applyBorder="1" applyFill="1" applyFont="1">
      <alignment horizontal="center" shrinkToFit="0" vertical="top" wrapText="1"/>
    </xf>
    <xf borderId="1" fillId="4" fontId="6" numFmtId="0" xfId="0" applyAlignment="1" applyBorder="1" applyFill="1" applyFon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horizontal="left" shrinkToFit="0" vertical="top" wrapText="1"/>
    </xf>
    <xf borderId="1" fillId="5" fontId="6" numFmtId="0" xfId="0" applyAlignment="1" applyBorder="1" applyFill="1" applyFont="1">
      <alignment horizontal="left" shrinkToFit="0" vertical="top" wrapText="1"/>
    </xf>
    <xf borderId="1" fillId="5" fontId="6" numFmtId="0" xfId="0" applyAlignment="1" applyBorder="1" applyFill="1" applyFont="1">
      <alignment horizontal="left" readingOrder="0" shrinkToFit="0" vertical="top" wrapText="1"/>
    </xf>
    <xf borderId="0" fillId="5" fontId="10" numFmtId="0" xfId="0" applyAlignment="1" applyFill="1" applyFont="1">
      <alignment shrinkToFit="0" wrapText="1"/>
    </xf>
    <xf borderId="0" fillId="5" fontId="11" numFmtId="0" xfId="0" applyAlignment="1" applyFill="1" applyFont="1">
      <alignment horizontal="left" readingOrder="0" shrinkToFit="0" vertical="top" wrapText="1"/>
    </xf>
    <xf borderId="1" fillId="6" fontId="6" numFmtId="0" xfId="0" applyAlignment="1" applyBorder="1" applyFill="1" applyFont="1">
      <alignment horizontal="left" shrinkToFit="0" vertical="top" wrapText="1"/>
    </xf>
    <xf borderId="0" fillId="5" fontId="12" numFmtId="0" xfId="0" applyAlignment="1" applyFill="1" applyFont="1">
      <alignment horizontal="left" shrinkToFit="0" vertical="top" wrapText="1"/>
    </xf>
    <xf borderId="1" fillId="3" fontId="1" numFmtId="0" xfId="0" applyAlignment="1" applyBorder="1" applyFill="1" applyFont="1">
      <alignment shrinkToFit="0" vertical="center" wrapText="1"/>
    </xf>
    <xf borderId="1" fillId="4" fontId="7" numFmtId="0" xfId="0" applyAlignment="1" applyBorder="1" applyFill="1" applyFont="1">
      <alignment horizontal="left" shrinkToFit="0" vertical="top" wrapText="1"/>
    </xf>
    <xf borderId="1" fillId="5" fontId="7" numFmtId="0" xfId="0" applyAlignment="1" applyBorder="1" applyFill="1" applyFont="1">
      <alignment horizontal="left" shrinkToFit="0" vertical="top" wrapText="1"/>
    </xf>
    <xf borderId="1" fillId="5" fontId="13" numFmtId="0" xfId="0" applyAlignment="1" applyBorder="1" applyFill="1" applyFont="1">
      <alignment horizontal="left" shrinkToFit="0" vertical="top" wrapText="1"/>
    </xf>
    <xf borderId="1" fillId="6" fontId="7" numFmtId="0" xfId="0" applyAlignment="1" applyBorder="1" applyFill="1" applyFont="1">
      <alignment horizontal="left" shrinkToFit="0" vertical="top" wrapText="1"/>
    </xf>
    <xf borderId="1" fillId="4" fontId="14" numFmtId="0" xfId="0" applyAlignment="1" applyBorder="1" applyFill="1" applyFont="1">
      <alignment shrinkToFit="0" vertical="top" wrapText="1"/>
    </xf>
    <xf borderId="1" fillId="5" fontId="14" numFmtId="0" xfId="0" applyAlignment="1" applyBorder="1" applyFill="1" applyFont="1">
      <alignment shrinkToFit="0" vertical="top" wrapText="1"/>
    </xf>
    <xf borderId="1" fillId="5" fontId="15" numFmtId="0" xfId="0" applyAlignment="1" applyBorder="1" applyFill="1" applyFont="1">
      <alignment shrinkToFit="0" vertical="top" wrapText="1"/>
    </xf>
    <xf borderId="1" fillId="6" fontId="1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avaocity.gov.ph/health/davao-city-2025-dengue-figure-down-vs-2024/" TargetMode="External"/><Relationship Id="rId11" Type="http://schemas.openxmlformats.org/officeDocument/2006/relationships/hyperlink" Target="https://officialgazette.gov.ph/1991/10/10/republic-act-no-7160/" TargetMode="External"/><Relationship Id="rId22" Type="http://schemas.openxmlformats.org/officeDocument/2006/relationships/hyperlink" Target="https://officialgazette.gov.ph/1991/10/10/republic-act-no-7160/" TargetMode="External"/><Relationship Id="rId10" Type="http://schemas.openxmlformats.org/officeDocument/2006/relationships/hyperlink" Target="https://bacolodcity.gov.ph/2025-resolutions/" TargetMode="External"/><Relationship Id="rId21" Type="http://schemas.openxmlformats.org/officeDocument/2006/relationships/hyperlink" Target="https://bacolodcity.gov.ph/2025-resolutions/" TargetMode="External"/><Relationship Id="rId13" Type="http://schemas.openxmlformats.org/officeDocument/2006/relationships/hyperlink" Target="https://quezoncity.gov.ph/wp-content/uploads/2024/01/Annual-Procurement-Plan-F.Y.-2024.pdf" TargetMode="External"/><Relationship Id="rId12" Type="http://schemas.openxmlformats.org/officeDocument/2006/relationships/hyperlink" Target="https://quezoncity.gov.ph/wp-content/uploads/2025/12/Quezon-City-Local-Government-Annual-Report-2024-2025.pdf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quezoncity.gov.ph/wp-content/uploads/2025/12/Quezon-City-Local-Government-Annual-Report-2024-2025.pdf" TargetMode="External"/><Relationship Id="rId2" Type="http://schemas.openxmlformats.org/officeDocument/2006/relationships/hyperlink" Target="https://quezoncity.gov.ph/wp-content/uploads/2024/01/Annual-Procurement-Plan-F.Y.-2024.pdf" TargetMode="External"/><Relationship Id="rId3" Type="http://schemas.openxmlformats.org/officeDocument/2006/relationships/hyperlink" Target="https://www.quezoncity.gov.ph/wp-content/uploads/2020/09/DTP-Final-v1.pdf" TargetMode="External"/><Relationship Id="rId4" Type="http://schemas.openxmlformats.org/officeDocument/2006/relationships/hyperlink" Target="https://pasigcity.gov.ph/news-and-releases/patuloy-na-pagbaba-ng-kaso-ng-dengue-sa-pasig-dahil-sa-sama-samang-aksyon-465" TargetMode="External"/><Relationship Id="rId9" Type="http://schemas.openxmlformats.org/officeDocument/2006/relationships/hyperlink" Target="https://davaocity.gov.ph/health/davao-city-2025-dengue-figure-down-vs-2024/" TargetMode="External"/><Relationship Id="rId15" Type="http://schemas.openxmlformats.org/officeDocument/2006/relationships/hyperlink" Target="https://pasigcity.gov.ph/news-and-releases/patuloy-na-pagbaba-ng-kaso-ng-dengue-sa-pasig-dahil-sa-sama-samang-aksyon-465" TargetMode="External"/><Relationship Id="rId14" Type="http://schemas.openxmlformats.org/officeDocument/2006/relationships/hyperlink" Target="https://www.quezoncity.gov.ph/wp-content/uploads/2020/09/DTP-Final-v1.pdf" TargetMode="External"/><Relationship Id="rId17" Type="http://schemas.openxmlformats.org/officeDocument/2006/relationships/hyperlink" Target="https://www.davaocity.gov.ph/wp-content/uploads/2023/09/Signed_RCD-2023-90847_ASD092523-17-EO-25-23_compressed.pdf" TargetMode="External"/><Relationship Id="rId16" Type="http://schemas.openxmlformats.org/officeDocument/2006/relationships/hyperlink" Target="https://assets.pasigcity.gov.ph/storage/annual_procurement_plan/2025/07/13/68737fe0c9f2c17523998401st%20Semester%20Procurement%20Monitoring%20Report%20for%20CY%202025.pdf" TargetMode="External"/><Relationship Id="rId5" Type="http://schemas.openxmlformats.org/officeDocument/2006/relationships/hyperlink" Target="https://assets.pasigcity.gov.ph/storage/annual_procurement_plan/2025/07/13/68737fe0c9f2c17523998401st%20Semester%20Procurement%20Monitoring%20Report%20for%20CY%202025.pdf" TargetMode="External"/><Relationship Id="rId19" Type="http://schemas.openxmlformats.org/officeDocument/2006/relationships/hyperlink" Target="https://davaocity.gov.ph/health/citation-tickets-vs-anti-mosquito-borne-diseases-ordinance-violators-now-ready/" TargetMode="External"/><Relationship Id="rId6" Type="http://schemas.openxmlformats.org/officeDocument/2006/relationships/hyperlink" Target="https://www.davaocity.gov.ph/wp-content/uploads/2023/09/Signed_RCD-2023-90847_ASD092523-17-EO-25-23_compressed.pdf" TargetMode="External"/><Relationship Id="rId18" Type="http://schemas.openxmlformats.org/officeDocument/2006/relationships/hyperlink" Target="https://davaocity.gov.ph/health/city-govt-to-barangays-create-task-force-vs-dengue/" TargetMode="External"/><Relationship Id="rId7" Type="http://schemas.openxmlformats.org/officeDocument/2006/relationships/hyperlink" Target="https://davaocity.gov.ph/health/city-govt-to-barangays-create-task-force-vs-dengue/" TargetMode="External"/><Relationship Id="rId8" Type="http://schemas.openxmlformats.org/officeDocument/2006/relationships/hyperlink" Target="https://davaocity.gov.ph/health/citation-tickets-vs-anti-mosquito-borne-diseases-ordinance-violators-now-ready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officialgazette.gov.ph/1991/10/10/republic-act-no-7160/" TargetMode="External"/><Relationship Id="rId10" Type="http://schemas.openxmlformats.org/officeDocument/2006/relationships/hyperlink" Target="https://bacolodcity.gov.ph/2025-resolutions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ata.humdata.org/dataset/philippine-dengue-cases-and-deaths" TargetMode="External"/><Relationship Id="rId1" Type="http://schemas.openxmlformats.org/officeDocument/2006/relationships/hyperlink" Target="https://quezoncity.gov.ph/wp-content/uploads/2025/12/Quezon-City-Local-Government-Annual-Report-2024-2025.pdf" TargetMode="External"/><Relationship Id="rId2" Type="http://schemas.openxmlformats.org/officeDocument/2006/relationships/hyperlink" Target="https://quezoncity.gov.ph/wp-content/uploads/2024/01/Annual-Procurement-Plan-F.Y.-2024.pdf" TargetMode="External"/><Relationship Id="rId3" Type="http://schemas.openxmlformats.org/officeDocument/2006/relationships/hyperlink" Target="https://www.quezoncity.gov.ph/wp-content/uploads/2020/09/DTP-Final-v1.pdf" TargetMode="External"/><Relationship Id="rId4" Type="http://schemas.openxmlformats.org/officeDocument/2006/relationships/hyperlink" Target="https://pasigcity.gov.ph/news-and-releases/patuloy-na-pagbaba-ng-kaso-ng-dengue-sa-pasig-dahil-sa-sama-samang-aksyon-465" TargetMode="External"/><Relationship Id="rId9" Type="http://schemas.openxmlformats.org/officeDocument/2006/relationships/hyperlink" Target="https://davaocity.gov.ph/health/davao-city-2025-dengue-figure-down-vs-2024/" TargetMode="External"/><Relationship Id="rId5" Type="http://schemas.openxmlformats.org/officeDocument/2006/relationships/hyperlink" Target="https://assets.pasigcity.gov.ph/storage/annual_procurement_plan/2025/07/13/68737fe0c9f2c17523998401st%20Semester%20Procurement%20Monitoring%20Report%20for%20CY%202025.pdf" TargetMode="External"/><Relationship Id="rId6" Type="http://schemas.openxmlformats.org/officeDocument/2006/relationships/hyperlink" Target="https://www.davaocity.gov.ph/wp-content/uploads/2023/09/Signed_RCD-2023-90847_ASD092523-17-EO-25-23_compressed.pdf" TargetMode="External"/><Relationship Id="rId7" Type="http://schemas.openxmlformats.org/officeDocument/2006/relationships/hyperlink" Target="https://davaocity.gov.ph/health/city-govt-to-barangays-create-task-force-vs-dengue/" TargetMode="External"/><Relationship Id="rId8" Type="http://schemas.openxmlformats.org/officeDocument/2006/relationships/hyperlink" Target="https://davaocity.gov.ph/health/citation-tickets-vs-anti-mosquito-borne-diseases-ordinance-violators-now-ready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14"/>
    <col customWidth="1" min="2" max="2" width="36.0"/>
    <col customWidth="1" min="3" max="3" width="38.14"/>
    <col customWidth="1" min="4" max="4" width="46.86"/>
    <col customWidth="1" min="5" max="5" width="36.57"/>
    <col customWidth="1" min="6" max="6" width="37.43"/>
    <col customWidth="1" min="7" max="7" width="42.0"/>
    <col customWidth="1" min="8" max="8" width="43.0"/>
    <col customWidth="1" min="9" max="10" width="48.0"/>
    <col customWidth="1" min="11" max="11" width="28.0"/>
    <col customWidth="1" min="12" max="12" width="19.86"/>
    <col customWidth="1" min="13" max="13" width="25.0"/>
    <col customWidth="1" min="14" max="14" width="28.0"/>
    <col customWidth="1" min="15" max="15" width="20.0"/>
    <col customWidth="1" min="16" max="16" width="42.0"/>
  </cols>
  <sheetData>
    <row r="1" ht="31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31.5" customHeight="1">
      <c r="A2" s="4"/>
      <c r="B2" s="11" t="s">
        <v>20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31.5" customHeight="1">
      <c r="A4" s="14" t="s">
        <v>2</v>
      </c>
      <c r="B4" s="14" t="s">
        <v>49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4" t="s">
        <v>57</v>
      </c>
      <c r="K4" s="14" t="s">
        <v>42</v>
      </c>
      <c r="L4" s="14" t="s">
        <v>46</v>
      </c>
      <c r="M4" s="14" t="s">
        <v>47</v>
      </c>
      <c r="N4" s="14" t="s">
        <v>60</v>
      </c>
      <c r="O4" s="14" t="s">
        <v>62</v>
      </c>
      <c r="P4" s="14" t="s">
        <v>63</v>
      </c>
    </row>
    <row r="5" ht="101.25" customHeight="1">
      <c r="A5" s="17" t="s">
        <v>8</v>
      </c>
      <c r="B5" s="18" t="s">
        <v>75</v>
      </c>
      <c r="C5" s="19" t="s">
        <v>81</v>
      </c>
      <c r="D5" s="19" t="s">
        <v>87</v>
      </c>
      <c r="E5" s="19" t="s">
        <v>89</v>
      </c>
      <c r="F5" s="19" t="s">
        <v>92</v>
      </c>
      <c r="G5" s="18" t="s">
        <v>93</v>
      </c>
      <c r="H5" s="18" t="s">
        <v>96</v>
      </c>
      <c r="I5" s="18" t="s">
        <v>98</v>
      </c>
      <c r="J5" s="21" t="s">
        <v>72</v>
      </c>
      <c r="K5" s="18" t="s">
        <v>69</v>
      </c>
      <c r="L5" s="18" t="s">
        <v>114</v>
      </c>
      <c r="M5" s="18" t="s">
        <v>115</v>
      </c>
      <c r="N5" s="18" t="s">
        <v>130</v>
      </c>
      <c r="O5" s="18" t="s">
        <v>131</v>
      </c>
      <c r="P5" s="22" t="s">
        <v>132</v>
      </c>
    </row>
    <row r="6" ht="87.75" customHeight="1">
      <c r="A6" s="17" t="s">
        <v>8</v>
      </c>
      <c r="B6" s="18" t="s">
        <v>133</v>
      </c>
      <c r="C6" s="19" t="s">
        <v>134</v>
      </c>
      <c r="D6" s="19" t="s">
        <v>135</v>
      </c>
      <c r="E6" s="18" t="s">
        <v>136</v>
      </c>
      <c r="F6" s="18" t="s">
        <v>137</v>
      </c>
      <c r="G6" s="18" t="s">
        <v>138</v>
      </c>
      <c r="H6" s="18" t="s">
        <v>139</v>
      </c>
      <c r="I6" s="18" t="s">
        <v>140</v>
      </c>
      <c r="J6" s="23" t="s">
        <v>129</v>
      </c>
      <c r="K6" s="18" t="s">
        <v>128</v>
      </c>
      <c r="L6" s="18" t="s">
        <v>148</v>
      </c>
      <c r="M6" s="18" t="s">
        <v>149</v>
      </c>
      <c r="N6" s="18" t="s">
        <v>130</v>
      </c>
      <c r="O6" s="18" t="s">
        <v>131</v>
      </c>
      <c r="P6" s="22" t="s">
        <v>154</v>
      </c>
    </row>
    <row r="7" ht="75.0" customHeight="1">
      <c r="A7" s="17" t="s">
        <v>8</v>
      </c>
      <c r="B7" s="18" t="s">
        <v>155</v>
      </c>
      <c r="C7" s="19" t="s">
        <v>156</v>
      </c>
      <c r="D7" s="19" t="s">
        <v>157</v>
      </c>
      <c r="E7" s="18" t="s">
        <v>158</v>
      </c>
      <c r="F7" s="18" t="s">
        <v>159</v>
      </c>
      <c r="G7" s="18" t="s">
        <v>160</v>
      </c>
      <c r="H7" s="18" t="s">
        <v>161</v>
      </c>
      <c r="I7" s="18" t="s">
        <v>162</v>
      </c>
      <c r="J7" s="23" t="s">
        <v>153</v>
      </c>
      <c r="K7" s="18" t="s">
        <v>69</v>
      </c>
      <c r="L7" s="18" t="s">
        <v>163</v>
      </c>
      <c r="M7" s="18" t="s">
        <v>170</v>
      </c>
      <c r="N7" s="18" t="s">
        <v>130</v>
      </c>
      <c r="O7" s="18" t="s">
        <v>131</v>
      </c>
      <c r="P7" s="22" t="s">
        <v>171</v>
      </c>
    </row>
    <row r="8" ht="120.75" customHeight="1">
      <c r="A8" s="17" t="s">
        <v>45</v>
      </c>
      <c r="B8" s="18" t="s">
        <v>173</v>
      </c>
      <c r="C8" s="19" t="s">
        <v>174</v>
      </c>
      <c r="D8" s="19" t="s">
        <v>175</v>
      </c>
      <c r="E8" s="18" t="s">
        <v>176</v>
      </c>
      <c r="F8" s="18" t="s">
        <v>177</v>
      </c>
      <c r="G8" s="18" t="s">
        <v>178</v>
      </c>
      <c r="H8" s="18" t="s">
        <v>179</v>
      </c>
      <c r="I8" s="18" t="s">
        <v>180</v>
      </c>
      <c r="J8" s="23" t="s">
        <v>169</v>
      </c>
      <c r="K8" s="18" t="s">
        <v>168</v>
      </c>
      <c r="L8" s="18" t="s">
        <v>200</v>
      </c>
      <c r="M8" s="18" t="s">
        <v>202</v>
      </c>
      <c r="N8" s="18" t="s">
        <v>130</v>
      </c>
      <c r="O8" s="18" t="s">
        <v>131</v>
      </c>
      <c r="P8" s="22" t="s">
        <v>209</v>
      </c>
    </row>
    <row r="9" ht="98.25" customHeight="1">
      <c r="A9" s="17" t="s">
        <v>45</v>
      </c>
      <c r="B9" s="18" t="s">
        <v>210</v>
      </c>
      <c r="C9" s="19" t="s">
        <v>211</v>
      </c>
      <c r="D9" s="19" t="s">
        <v>212</v>
      </c>
      <c r="E9" s="18" t="s">
        <v>213</v>
      </c>
      <c r="F9" s="18" t="s">
        <v>214</v>
      </c>
      <c r="G9" s="18" t="s">
        <v>215</v>
      </c>
      <c r="H9" s="18" t="s">
        <v>216</v>
      </c>
      <c r="I9" s="18" t="s">
        <v>217</v>
      </c>
      <c r="J9" s="23" t="s">
        <v>208</v>
      </c>
      <c r="K9" s="18" t="s">
        <v>221</v>
      </c>
      <c r="L9" s="18" t="s">
        <v>218</v>
      </c>
      <c r="M9" s="18" t="s">
        <v>219</v>
      </c>
      <c r="N9" s="18" t="s">
        <v>130</v>
      </c>
      <c r="O9" s="18" t="s">
        <v>131</v>
      </c>
      <c r="P9" s="22" t="s">
        <v>224</v>
      </c>
    </row>
    <row r="10" ht="129.0" customHeight="1">
      <c r="A10" s="17" t="s">
        <v>65</v>
      </c>
      <c r="B10" s="18" t="s">
        <v>227</v>
      </c>
      <c r="C10" s="19" t="s">
        <v>228</v>
      </c>
      <c r="D10" s="19" t="s">
        <v>229</v>
      </c>
      <c r="E10" s="18" t="s">
        <v>230</v>
      </c>
      <c r="F10" s="18" t="s">
        <v>231</v>
      </c>
      <c r="G10" s="18" t="s">
        <v>232</v>
      </c>
      <c r="H10" s="18" t="s">
        <v>233</v>
      </c>
      <c r="I10" s="18" t="s">
        <v>234</v>
      </c>
      <c r="J10" s="23" t="s">
        <v>226</v>
      </c>
      <c r="K10" s="18" t="s">
        <v>225</v>
      </c>
      <c r="L10" s="18" t="s">
        <v>235</v>
      </c>
      <c r="M10" s="18" t="s">
        <v>238</v>
      </c>
      <c r="N10" s="18" t="s">
        <v>130</v>
      </c>
      <c r="O10" s="18" t="s">
        <v>131</v>
      </c>
      <c r="P10" s="22" t="s">
        <v>242</v>
      </c>
    </row>
    <row r="11" ht="105.0" customHeight="1">
      <c r="A11" s="17" t="s">
        <v>65</v>
      </c>
      <c r="B11" s="18" t="s">
        <v>244</v>
      </c>
      <c r="C11" s="19" t="s">
        <v>245</v>
      </c>
      <c r="D11" s="19" t="s">
        <v>246</v>
      </c>
      <c r="E11" s="18" t="s">
        <v>247</v>
      </c>
      <c r="F11" s="18" t="s">
        <v>248</v>
      </c>
      <c r="G11" s="18" t="s">
        <v>249</v>
      </c>
      <c r="H11" s="18" t="s">
        <v>250</v>
      </c>
      <c r="I11" s="18" t="s">
        <v>251</v>
      </c>
      <c r="J11" s="23" t="s">
        <v>243</v>
      </c>
      <c r="K11" s="18" t="s">
        <v>241</v>
      </c>
      <c r="L11" s="18" t="s">
        <v>252</v>
      </c>
      <c r="M11" s="18" t="s">
        <v>253</v>
      </c>
      <c r="N11" s="18" t="s">
        <v>130</v>
      </c>
      <c r="O11" s="18" t="s">
        <v>131</v>
      </c>
      <c r="P11" s="22" t="s">
        <v>257</v>
      </c>
    </row>
    <row r="12" ht="94.5" customHeight="1">
      <c r="A12" s="17" t="s">
        <v>65</v>
      </c>
      <c r="B12" s="18" t="s">
        <v>258</v>
      </c>
      <c r="C12" s="19" t="s">
        <v>259</v>
      </c>
      <c r="D12" s="18" t="s">
        <v>260</v>
      </c>
      <c r="E12" s="18" t="s">
        <v>261</v>
      </c>
      <c r="F12" s="18" t="s">
        <v>262</v>
      </c>
      <c r="G12" s="18" t="s">
        <v>263</v>
      </c>
      <c r="H12" s="18" t="s">
        <v>264</v>
      </c>
      <c r="I12" s="18" t="s">
        <v>265</v>
      </c>
      <c r="J12" s="23" t="s">
        <v>256</v>
      </c>
      <c r="K12" s="18" t="s">
        <v>241</v>
      </c>
      <c r="L12" s="18" t="s">
        <v>266</v>
      </c>
      <c r="M12" s="18" t="s">
        <v>271</v>
      </c>
      <c r="N12" s="18" t="s">
        <v>130</v>
      </c>
      <c r="O12" s="18" t="s">
        <v>131</v>
      </c>
      <c r="P12" s="22" t="s">
        <v>272</v>
      </c>
    </row>
    <row r="13" ht="75.0" customHeight="1">
      <c r="A13" s="17" t="s">
        <v>65</v>
      </c>
      <c r="B13" s="18" t="s">
        <v>273</v>
      </c>
      <c r="C13" s="19" t="s">
        <v>274</v>
      </c>
      <c r="D13" s="19" t="s">
        <v>275</v>
      </c>
      <c r="E13" s="18" t="s">
        <v>276</v>
      </c>
      <c r="F13" s="18" t="s">
        <v>277</v>
      </c>
      <c r="G13" s="18" t="s">
        <v>278</v>
      </c>
      <c r="H13" s="18" t="s">
        <v>279</v>
      </c>
      <c r="I13" s="18" t="s">
        <v>280</v>
      </c>
      <c r="J13" s="23" t="s">
        <v>270</v>
      </c>
      <c r="K13" s="18" t="s">
        <v>241</v>
      </c>
      <c r="L13" s="18" t="s">
        <v>281</v>
      </c>
      <c r="M13" s="18" t="s">
        <v>282</v>
      </c>
      <c r="N13" s="18" t="s">
        <v>130</v>
      </c>
      <c r="O13" s="18" t="s">
        <v>131</v>
      </c>
      <c r="P13" s="22" t="s">
        <v>288</v>
      </c>
    </row>
    <row r="14" ht="105.75" customHeight="1">
      <c r="A14" s="17" t="s">
        <v>82</v>
      </c>
      <c r="B14" s="18" t="s">
        <v>289</v>
      </c>
      <c r="C14" s="18" t="s">
        <v>290</v>
      </c>
      <c r="D14" s="18" t="s">
        <v>291</v>
      </c>
      <c r="E14" s="18" t="s">
        <v>293</v>
      </c>
      <c r="F14" s="18" t="s">
        <v>295</v>
      </c>
      <c r="G14" s="18" t="s">
        <v>296</v>
      </c>
      <c r="H14" s="18" t="s">
        <v>297</v>
      </c>
      <c r="I14" s="18" t="s">
        <v>298</v>
      </c>
      <c r="J14" s="23" t="s">
        <v>287</v>
      </c>
      <c r="K14" s="18" t="s">
        <v>286</v>
      </c>
      <c r="L14" s="18" t="s">
        <v>292</v>
      </c>
      <c r="M14" s="18" t="s">
        <v>292</v>
      </c>
      <c r="N14" s="18" t="s">
        <v>130</v>
      </c>
      <c r="O14" s="18" t="s">
        <v>303</v>
      </c>
      <c r="P14" s="22" t="s">
        <v>304</v>
      </c>
    </row>
    <row r="15" ht="107.25" customHeight="1">
      <c r="A15" s="17" t="s">
        <v>305</v>
      </c>
      <c r="B15" s="18" t="s">
        <v>307</v>
      </c>
      <c r="C15" s="18" t="s">
        <v>309</v>
      </c>
      <c r="D15" s="18" t="s">
        <v>311</v>
      </c>
      <c r="E15" s="18" t="s">
        <v>312</v>
      </c>
      <c r="F15" s="18" t="s">
        <v>314</v>
      </c>
      <c r="G15" s="18" t="s">
        <v>317</v>
      </c>
      <c r="H15" s="18" t="s">
        <v>319</v>
      </c>
      <c r="I15" s="18" t="s">
        <v>320</v>
      </c>
      <c r="J15" s="23" t="s">
        <v>302</v>
      </c>
      <c r="K15" s="18" t="s">
        <v>301</v>
      </c>
      <c r="L15" s="18" t="s">
        <v>306</v>
      </c>
      <c r="M15" s="18" t="s">
        <v>308</v>
      </c>
      <c r="N15" s="18" t="s">
        <v>324</v>
      </c>
      <c r="O15" s="18" t="s">
        <v>131</v>
      </c>
      <c r="P15" s="22" t="s">
        <v>325</v>
      </c>
    </row>
    <row r="16" ht="75.0" customHeight="1">
      <c r="A16" s="17"/>
      <c r="B16" s="18"/>
      <c r="C16" s="18"/>
      <c r="D16" s="18"/>
      <c r="E16" s="18"/>
      <c r="F16" s="18"/>
      <c r="G16" s="18"/>
      <c r="H16" s="18"/>
      <c r="I16" s="18"/>
      <c r="J16" s="23" t="s">
        <v>72</v>
      </c>
      <c r="K16" s="18"/>
      <c r="L16" s="18"/>
      <c r="M16" s="18"/>
      <c r="N16" s="18"/>
      <c r="O16" s="18"/>
      <c r="P16" s="22"/>
    </row>
    <row r="17" ht="75.0" customHeight="1">
      <c r="A17" s="17"/>
      <c r="B17" s="18"/>
      <c r="C17" s="18"/>
      <c r="D17" s="18"/>
      <c r="E17" s="18"/>
      <c r="F17" s="18"/>
      <c r="G17" s="18"/>
      <c r="H17" s="18"/>
      <c r="I17" s="18"/>
      <c r="J17" s="23" t="s">
        <v>129</v>
      </c>
      <c r="K17" s="18"/>
      <c r="L17" s="18"/>
      <c r="M17" s="18"/>
      <c r="N17" s="18"/>
      <c r="O17" s="18"/>
      <c r="P17" s="22"/>
    </row>
    <row r="18" ht="75.0" customHeight="1">
      <c r="A18" s="17"/>
      <c r="B18" s="18"/>
      <c r="C18" s="18"/>
      <c r="D18" s="18"/>
      <c r="E18" s="18"/>
      <c r="F18" s="18"/>
      <c r="G18" s="18"/>
      <c r="H18" s="18"/>
      <c r="I18" s="18"/>
      <c r="J18" s="23" t="s">
        <v>153</v>
      </c>
      <c r="K18" s="18"/>
      <c r="L18" s="18"/>
      <c r="M18" s="18"/>
      <c r="N18" s="18"/>
      <c r="O18" s="18"/>
      <c r="P18" s="22"/>
    </row>
    <row r="19" ht="75.0" customHeight="1">
      <c r="A19" s="17"/>
      <c r="B19" s="18"/>
      <c r="C19" s="18"/>
      <c r="D19" s="18"/>
      <c r="E19" s="18"/>
      <c r="F19" s="18"/>
      <c r="G19" s="18"/>
      <c r="H19" s="18"/>
      <c r="I19" s="18"/>
      <c r="J19" s="23" t="s">
        <v>169</v>
      </c>
      <c r="K19" s="18"/>
      <c r="L19" s="18"/>
      <c r="M19" s="18"/>
      <c r="N19" s="18"/>
      <c r="O19" s="18"/>
      <c r="P19" s="22"/>
    </row>
    <row r="20" ht="75.0" customHeight="1">
      <c r="A20" s="17"/>
      <c r="B20" s="18"/>
      <c r="C20" s="18"/>
      <c r="D20" s="18"/>
      <c r="E20" s="18"/>
      <c r="F20" s="18"/>
      <c r="G20" s="18"/>
      <c r="H20" s="18"/>
      <c r="I20" s="18"/>
      <c r="J20" s="23" t="s">
        <v>208</v>
      </c>
      <c r="K20" s="18"/>
      <c r="L20" s="18"/>
      <c r="M20" s="18"/>
      <c r="N20" s="18"/>
      <c r="O20" s="18"/>
      <c r="P20" s="22"/>
    </row>
    <row r="21" ht="75.0" customHeight="1">
      <c r="A21" s="17"/>
      <c r="B21" s="18"/>
      <c r="C21" s="18"/>
      <c r="D21" s="18"/>
      <c r="E21" s="18"/>
      <c r="F21" s="18"/>
      <c r="G21" s="18"/>
      <c r="H21" s="18"/>
      <c r="I21" s="18"/>
      <c r="J21" s="23" t="s">
        <v>226</v>
      </c>
      <c r="K21" s="18"/>
      <c r="L21" s="18"/>
      <c r="M21" s="18"/>
      <c r="N21" s="18"/>
      <c r="O21" s="18"/>
      <c r="P21" s="22"/>
    </row>
    <row r="22" ht="75.0" customHeight="1">
      <c r="A22" s="17"/>
      <c r="B22" s="18"/>
      <c r="C22" s="18"/>
      <c r="D22" s="18"/>
      <c r="E22" s="18"/>
      <c r="F22" s="18"/>
      <c r="G22" s="18"/>
      <c r="H22" s="18"/>
      <c r="I22" s="18"/>
      <c r="J22" s="23" t="s">
        <v>243</v>
      </c>
      <c r="K22" s="18"/>
      <c r="L22" s="18"/>
      <c r="M22" s="18"/>
      <c r="N22" s="18"/>
      <c r="O22" s="18"/>
      <c r="P22" s="22"/>
    </row>
    <row r="23" ht="75.0" customHeight="1">
      <c r="A23" s="17"/>
      <c r="B23" s="18"/>
      <c r="C23" s="18"/>
      <c r="D23" s="18"/>
      <c r="E23" s="18"/>
      <c r="F23" s="18"/>
      <c r="G23" s="18"/>
      <c r="H23" s="18"/>
      <c r="I23" s="18"/>
      <c r="J23" s="23" t="s">
        <v>256</v>
      </c>
      <c r="K23" s="18"/>
      <c r="L23" s="18"/>
      <c r="M23" s="18"/>
      <c r="N23" s="18"/>
      <c r="O23" s="18"/>
      <c r="P23" s="22"/>
    </row>
    <row r="24" ht="75.0" customHeight="1">
      <c r="A24" s="17"/>
      <c r="B24" s="18"/>
      <c r="C24" s="18"/>
      <c r="D24" s="18"/>
      <c r="E24" s="18"/>
      <c r="F24" s="18"/>
      <c r="G24" s="18"/>
      <c r="H24" s="18"/>
      <c r="I24" s="18"/>
      <c r="J24" s="23" t="s">
        <v>270</v>
      </c>
      <c r="K24" s="18"/>
      <c r="L24" s="18"/>
      <c r="M24" s="18"/>
      <c r="N24" s="18"/>
      <c r="O24" s="18"/>
      <c r="P24" s="22"/>
    </row>
    <row r="25" ht="75.0" customHeight="1">
      <c r="A25" s="17"/>
      <c r="B25" s="18"/>
      <c r="C25" s="18"/>
      <c r="D25" s="18"/>
      <c r="E25" s="18"/>
      <c r="F25" s="18"/>
      <c r="G25" s="18"/>
      <c r="H25" s="18"/>
      <c r="I25" s="18"/>
      <c r="J25" s="23" t="s">
        <v>287</v>
      </c>
      <c r="K25" s="18"/>
      <c r="L25" s="18"/>
      <c r="M25" s="18"/>
      <c r="N25" s="18"/>
      <c r="O25" s="18"/>
      <c r="P25" s="22"/>
    </row>
    <row r="26" ht="75.0" customHeight="1">
      <c r="A26" s="17"/>
      <c r="B26" s="18"/>
      <c r="C26" s="18"/>
      <c r="D26" s="18"/>
      <c r="E26" s="18"/>
      <c r="F26" s="18"/>
      <c r="G26" s="18"/>
      <c r="H26" s="18"/>
      <c r="I26" s="18"/>
      <c r="J26" s="23" t="s">
        <v>302</v>
      </c>
      <c r="K26" s="18"/>
      <c r="L26" s="18"/>
      <c r="M26" s="18"/>
      <c r="N26" s="18"/>
      <c r="O26" s="18"/>
      <c r="P26" s="22"/>
    </row>
    <row r="27" ht="75.0" customHeight="1">
      <c r="A27" s="25"/>
      <c r="B27" s="26"/>
      <c r="C27" s="26"/>
      <c r="D27" s="26"/>
      <c r="E27" s="26"/>
      <c r="F27" s="26"/>
      <c r="G27" s="26"/>
      <c r="H27" s="26"/>
      <c r="I27" s="26"/>
      <c r="J27" s="27"/>
      <c r="K27" s="26"/>
      <c r="L27" s="26"/>
      <c r="M27" s="26"/>
      <c r="N27" s="26"/>
      <c r="O27" s="26"/>
      <c r="P27" s="28"/>
    </row>
    <row r="28" ht="75.0" customHeight="1">
      <c r="A28" s="25"/>
      <c r="B28" s="26"/>
      <c r="C28" s="26"/>
      <c r="D28" s="26"/>
      <c r="E28" s="26"/>
      <c r="F28" s="26"/>
      <c r="G28" s="26"/>
      <c r="H28" s="26"/>
      <c r="I28" s="26"/>
      <c r="J28" s="27"/>
      <c r="K28" s="26"/>
      <c r="L28" s="26"/>
      <c r="M28" s="26"/>
      <c r="N28" s="26"/>
      <c r="O28" s="26"/>
      <c r="P28" s="28"/>
    </row>
    <row r="29" ht="75.0" customHeight="1">
      <c r="A29" s="29"/>
      <c r="B29" s="30"/>
      <c r="C29" s="30"/>
      <c r="D29" s="30"/>
      <c r="E29" s="30"/>
      <c r="F29" s="30"/>
      <c r="G29" s="30"/>
      <c r="H29" s="30"/>
      <c r="I29" s="30"/>
      <c r="J29" s="31"/>
      <c r="K29" s="30"/>
      <c r="L29" s="30"/>
      <c r="M29" s="30"/>
      <c r="N29" s="30"/>
      <c r="O29" s="30"/>
      <c r="P29" s="32"/>
    </row>
  </sheetData>
  <autoFilter ref="$A$4:$P$29"/>
  <mergeCells count="1">
    <mergeCell ref="B2:D2"/>
  </mergeCells>
  <dataValidations>
    <dataValidation type="list" allowBlank="1" showInputMessage="1" showErrorMessage="1" prompt="Invalid value - Pick a value from the dropdown." sqref="N5:N29">
      <formula1>"Within case data period (2016-2021),Outside case data period"</formula1>
    </dataValidation>
    <dataValidation type="list" allowBlank="1" showInputMessage="1" showErrorMessage="1" prompt="Click and enter a value from the list of items" sqref="O5:O29">
      <formula1>"Verified,Partially verified,Unverified,Conflicting"</formula1>
    </dataValidation>
  </dataValidations>
  <hyperlinks>
    <hyperlink r:id="rId1" ref="J5"/>
    <hyperlink r:id="rId2" ref="J6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2"/>
    <hyperlink r:id="rId19" ref="J23"/>
    <hyperlink r:id="rId20" ref="J24"/>
    <hyperlink r:id="rId21" ref="J25"/>
    <hyperlink r:id="rId22" ref="J26"/>
  </hyperlinks>
  <printOptions/>
  <pageMargins bottom="1.0" footer="0.0" header="0.0" left="0.75" right="0.75" top="1.0"/>
  <pageSetup paperSize="9" orientation="portrait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44.0"/>
    <col customWidth="1" min="3" max="3" width="32.0"/>
    <col customWidth="1" min="4" max="4" width="28.0"/>
    <col customWidth="1" min="5" max="5" width="18.0"/>
    <col customWidth="1" min="6" max="6" width="28.0"/>
    <col customWidth="1" min="7" max="7" width="27.0"/>
    <col customWidth="1" min="8" max="8" width="16.0"/>
    <col customWidth="1" min="9" max="9" width="22.0"/>
  </cols>
  <sheetData>
    <row r="1" ht="31.5" customHeight="1">
      <c r="A1" s="8"/>
      <c r="B1" s="8"/>
      <c r="C1" s="8"/>
      <c r="D1" s="8"/>
      <c r="E1" s="8"/>
      <c r="F1" s="8"/>
      <c r="G1" s="8"/>
      <c r="H1" s="8"/>
      <c r="I1" s="8"/>
    </row>
    <row r="2" ht="31.5" customHeight="1">
      <c r="A2" s="8"/>
      <c r="B2" s="3" t="s">
        <v>24</v>
      </c>
      <c r="E2" s="8"/>
      <c r="F2" s="8"/>
      <c r="G2" s="8"/>
      <c r="H2" s="8"/>
      <c r="I2" s="8"/>
    </row>
    <row r="3" ht="12.0" customHeight="1">
      <c r="A3" s="8"/>
      <c r="B3" s="8"/>
      <c r="C3" s="8"/>
      <c r="D3" s="8"/>
      <c r="E3" s="8"/>
      <c r="F3" s="8"/>
      <c r="G3" s="8"/>
      <c r="H3" s="8"/>
      <c r="I3" s="8"/>
    </row>
    <row r="4" ht="31.5" customHeight="1">
      <c r="A4" s="13" t="s">
        <v>37</v>
      </c>
      <c r="B4" s="13" t="s">
        <v>41</v>
      </c>
      <c r="C4" s="13" t="s">
        <v>42</v>
      </c>
      <c r="D4" s="13" t="s">
        <v>44</v>
      </c>
      <c r="E4" s="13" t="s">
        <v>46</v>
      </c>
      <c r="F4" s="13" t="s">
        <v>47</v>
      </c>
      <c r="G4" s="13" t="s">
        <v>50</v>
      </c>
      <c r="H4" s="13" t="s">
        <v>52</v>
      </c>
      <c r="I4" s="13" t="s">
        <v>54</v>
      </c>
    </row>
    <row r="5" ht="54.75" customHeight="1">
      <c r="A5" s="15" t="s">
        <v>56</v>
      </c>
      <c r="B5" s="16" t="s">
        <v>64</v>
      </c>
      <c r="C5" s="16" t="s">
        <v>69</v>
      </c>
      <c r="D5" s="20" t="s">
        <v>72</v>
      </c>
      <c r="E5" s="16" t="s">
        <v>114</v>
      </c>
      <c r="F5" s="16" t="s">
        <v>115</v>
      </c>
      <c r="G5" s="16" t="s">
        <v>117</v>
      </c>
      <c r="H5" s="16" t="s">
        <v>119</v>
      </c>
      <c r="I5" s="16" t="s">
        <v>124</v>
      </c>
    </row>
    <row r="6" ht="54.75" customHeight="1">
      <c r="A6" s="15" t="s">
        <v>126</v>
      </c>
      <c r="B6" s="16" t="s">
        <v>127</v>
      </c>
      <c r="C6" s="16" t="s">
        <v>128</v>
      </c>
      <c r="D6" s="20" t="s">
        <v>129</v>
      </c>
      <c r="E6" s="16" t="s">
        <v>148</v>
      </c>
      <c r="F6" s="16" t="s">
        <v>149</v>
      </c>
      <c r="G6" s="16" t="s">
        <v>150</v>
      </c>
      <c r="H6" s="16" t="s">
        <v>119</v>
      </c>
      <c r="I6" s="16" t="s">
        <v>124</v>
      </c>
    </row>
    <row r="7" ht="54.75" customHeight="1">
      <c r="A7" s="15" t="s">
        <v>151</v>
      </c>
      <c r="B7" s="16" t="s">
        <v>152</v>
      </c>
      <c r="C7" s="16" t="s">
        <v>69</v>
      </c>
      <c r="D7" s="20" t="s">
        <v>153</v>
      </c>
      <c r="E7" s="16" t="s">
        <v>163</v>
      </c>
      <c r="F7" s="16" t="s">
        <v>164</v>
      </c>
      <c r="G7" s="16" t="s">
        <v>165</v>
      </c>
      <c r="H7" s="16" t="s">
        <v>119</v>
      </c>
      <c r="I7" s="16" t="s">
        <v>124</v>
      </c>
    </row>
    <row r="8" ht="54.75" customHeight="1">
      <c r="A8" s="15" t="s">
        <v>166</v>
      </c>
      <c r="B8" s="16" t="s">
        <v>167</v>
      </c>
      <c r="C8" s="16" t="s">
        <v>168</v>
      </c>
      <c r="D8" s="20" t="s">
        <v>169</v>
      </c>
      <c r="E8" s="16" t="s">
        <v>200</v>
      </c>
      <c r="F8" s="16" t="s">
        <v>202</v>
      </c>
      <c r="G8" s="16" t="s">
        <v>205</v>
      </c>
      <c r="H8" s="16" t="s">
        <v>119</v>
      </c>
      <c r="I8" s="16" t="s">
        <v>124</v>
      </c>
    </row>
    <row r="9" ht="54.75" customHeight="1">
      <c r="A9" s="15" t="s">
        <v>206</v>
      </c>
      <c r="B9" s="16" t="s">
        <v>207</v>
      </c>
      <c r="C9" s="16" t="s">
        <v>168</v>
      </c>
      <c r="D9" s="20" t="s">
        <v>208</v>
      </c>
      <c r="E9" s="16" t="s">
        <v>218</v>
      </c>
      <c r="F9" s="16" t="s">
        <v>219</v>
      </c>
      <c r="G9" s="16" t="s">
        <v>220</v>
      </c>
      <c r="H9" s="16" t="s">
        <v>119</v>
      </c>
      <c r="I9" s="16" t="s">
        <v>124</v>
      </c>
    </row>
    <row r="10" ht="54.75" customHeight="1">
      <c r="A10" s="15" t="s">
        <v>222</v>
      </c>
      <c r="B10" s="16" t="s">
        <v>223</v>
      </c>
      <c r="C10" s="16" t="s">
        <v>225</v>
      </c>
      <c r="D10" s="20" t="s">
        <v>226</v>
      </c>
      <c r="E10" s="16" t="s">
        <v>235</v>
      </c>
      <c r="F10" s="16" t="s">
        <v>236</v>
      </c>
      <c r="G10" s="16" t="s">
        <v>237</v>
      </c>
      <c r="H10" s="16" t="s">
        <v>119</v>
      </c>
      <c r="I10" s="16" t="s">
        <v>124</v>
      </c>
    </row>
    <row r="11" ht="54.75" customHeight="1">
      <c r="A11" s="15" t="s">
        <v>239</v>
      </c>
      <c r="B11" s="16" t="s">
        <v>240</v>
      </c>
      <c r="C11" s="16" t="s">
        <v>241</v>
      </c>
      <c r="D11" s="20" t="s">
        <v>243</v>
      </c>
      <c r="E11" s="16" t="s">
        <v>252</v>
      </c>
      <c r="F11" s="16" t="s">
        <v>253</v>
      </c>
      <c r="G11" s="16" t="s">
        <v>205</v>
      </c>
      <c r="H11" s="16" t="s">
        <v>119</v>
      </c>
      <c r="I11" s="16" t="s">
        <v>124</v>
      </c>
    </row>
    <row r="12" ht="54.75" customHeight="1">
      <c r="A12" s="15" t="s">
        <v>254</v>
      </c>
      <c r="B12" s="16" t="s">
        <v>255</v>
      </c>
      <c r="C12" s="16" t="s">
        <v>241</v>
      </c>
      <c r="D12" s="20" t="s">
        <v>256</v>
      </c>
      <c r="E12" s="16" t="s">
        <v>266</v>
      </c>
      <c r="F12" s="16" t="s">
        <v>267</v>
      </c>
      <c r="G12" s="16" t="s">
        <v>205</v>
      </c>
      <c r="H12" s="16" t="s">
        <v>119</v>
      </c>
      <c r="I12" s="16" t="s">
        <v>124</v>
      </c>
    </row>
    <row r="13" ht="54.75" customHeight="1">
      <c r="A13" s="15" t="s">
        <v>268</v>
      </c>
      <c r="B13" s="16" t="s">
        <v>269</v>
      </c>
      <c r="C13" s="16" t="s">
        <v>241</v>
      </c>
      <c r="D13" s="20" t="s">
        <v>270</v>
      </c>
      <c r="E13" s="16" t="s">
        <v>281</v>
      </c>
      <c r="F13" s="16" t="s">
        <v>282</v>
      </c>
      <c r="G13" s="16" t="s">
        <v>283</v>
      </c>
      <c r="H13" s="16" t="s">
        <v>119</v>
      </c>
      <c r="I13" s="16" t="s">
        <v>124</v>
      </c>
    </row>
    <row r="14" ht="54.75" customHeight="1">
      <c r="A14" s="15" t="s">
        <v>284</v>
      </c>
      <c r="B14" s="16" t="s">
        <v>285</v>
      </c>
      <c r="C14" s="16" t="s">
        <v>286</v>
      </c>
      <c r="D14" s="20" t="s">
        <v>287</v>
      </c>
      <c r="E14" s="16" t="s">
        <v>292</v>
      </c>
      <c r="F14" s="16" t="s">
        <v>292</v>
      </c>
      <c r="G14" s="16" t="s">
        <v>294</v>
      </c>
      <c r="H14" s="16" t="s">
        <v>119</v>
      </c>
      <c r="I14" s="16" t="s">
        <v>124</v>
      </c>
    </row>
    <row r="15" ht="54.75" customHeight="1">
      <c r="A15" s="15" t="s">
        <v>299</v>
      </c>
      <c r="B15" s="16" t="s">
        <v>300</v>
      </c>
      <c r="C15" s="16" t="s">
        <v>301</v>
      </c>
      <c r="D15" s="20" t="s">
        <v>302</v>
      </c>
      <c r="E15" s="16" t="s">
        <v>306</v>
      </c>
      <c r="F15" s="16" t="s">
        <v>308</v>
      </c>
      <c r="G15" s="16" t="s">
        <v>310</v>
      </c>
      <c r="H15" s="16" t="s">
        <v>119</v>
      </c>
      <c r="I15" s="16" t="s">
        <v>124</v>
      </c>
    </row>
    <row r="16" ht="54.75" customHeight="1">
      <c r="A16" s="15" t="s">
        <v>313</v>
      </c>
      <c r="B16" s="16" t="s">
        <v>315</v>
      </c>
      <c r="C16" s="16" t="s">
        <v>316</v>
      </c>
      <c r="D16" s="20" t="s">
        <v>318</v>
      </c>
      <c r="E16" s="16" t="s">
        <v>321</v>
      </c>
      <c r="F16" s="16" t="s">
        <v>322</v>
      </c>
      <c r="G16" s="16" t="s">
        <v>323</v>
      </c>
      <c r="H16" s="16" t="s">
        <v>119</v>
      </c>
      <c r="I16" s="16" t="s">
        <v>124</v>
      </c>
    </row>
  </sheetData>
  <autoFilter ref="$A$4:$I$16"/>
  <mergeCells count="1">
    <mergeCell ref="B2:D2"/>
  </mergeCells>
  <dataValidations>
    <dataValidation type="list" allowBlank="1" showInputMessage="1" showErrorMessage="1" prompt="Invalid value - Pick a value from the dropdown." sqref="I5:I16">
      <formula1>"Y,N"</formula1>
    </dataValidation>
    <dataValidation type="list" allowBlank="1" showInputMessage="1" showErrorMessage="1" prompt="Invalid value - Pick a value from the dropdown." sqref="G5:G16">
      <formula1>"Primary,Secondary"</formula1>
    </dataValidation>
  </dataValidations>
  <hyperlinks>
    <hyperlink r:id="rId1" ref="D5"/>
    <hyperlink r:id="rId2" ref="D6"/>
    <hyperlink r:id="rId3" ref="D7"/>
    <hyperlink r:id="rId4" ref="D8"/>
    <hyperlink r:id="rId5" ref="D9"/>
    <hyperlink r:id="rId6" ref="D10"/>
    <hyperlink r:id="rId7" ref="D11"/>
    <hyperlink r:id="rId8" ref="D12"/>
    <hyperlink r:id="rId9" ref="D13"/>
    <hyperlink r:id="rId10" ref="D14"/>
    <hyperlink r:id="rId11" ref="D15"/>
    <hyperlink r:id="rId12" ref="D16"/>
  </hyperlinks>
  <printOptions/>
  <pageMargins bottom="1.0" footer="0.0" header="0.0" left="0.75" right="0.75" top="1.0"/>
  <pageSetup paperSize="9" orientation="portrait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3" width="44.0"/>
    <col customWidth="1" min="4" max="4" width="40.0"/>
    <col customWidth="1" min="5" max="6" width="42.0"/>
    <col customWidth="1" min="7" max="8" width="45.0"/>
    <col customWidth="1" min="9" max="10" width="14.0"/>
    <col customWidth="1" min="11" max="11" width="20.0"/>
  </cols>
  <sheetData>
    <row r="1" ht="3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1.5" customHeight="1">
      <c r="A2" s="1"/>
      <c r="B2" s="3" t="s">
        <v>0</v>
      </c>
      <c r="E2" s="1"/>
      <c r="F2" s="1"/>
      <c r="G2" s="1"/>
      <c r="H2" s="1"/>
      <c r="I2" s="1"/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31.5" customHeight="1">
      <c r="A4" s="6" t="s">
        <v>2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19</v>
      </c>
    </row>
    <row r="5" ht="54.75" customHeight="1">
      <c r="A5" s="10" t="s">
        <v>8</v>
      </c>
      <c r="B5" s="12" t="s">
        <v>29</v>
      </c>
      <c r="C5" s="12" t="s">
        <v>32</v>
      </c>
      <c r="D5" s="12" t="s">
        <v>34</v>
      </c>
      <c r="E5" s="12" t="s">
        <v>36</v>
      </c>
      <c r="F5" s="12" t="s">
        <v>38</v>
      </c>
      <c r="G5" s="12" t="s">
        <v>39</v>
      </c>
      <c r="H5" s="12" t="s">
        <v>40</v>
      </c>
      <c r="I5" s="12">
        <f>IF(A5="","",COUNTIF('Evidence Matrix'!$A$5:$A$29,A5))</f>
        <v>3</v>
      </c>
      <c r="J5" s="12">
        <f>IF(A5="","",COUNTIFS('Evidence Matrix'!$A$5:$A$29,A5,'Evidence Matrix'!$O$5:$O$29,"Verified"))</f>
        <v>3</v>
      </c>
      <c r="K5" s="12" t="s">
        <v>95</v>
      </c>
    </row>
    <row r="6" ht="54.75" customHeight="1">
      <c r="A6" s="10" t="s">
        <v>45</v>
      </c>
      <c r="B6" s="12" t="s">
        <v>100</v>
      </c>
      <c r="C6" s="12" t="s">
        <v>102</v>
      </c>
      <c r="D6" s="12" t="s">
        <v>104</v>
      </c>
      <c r="E6" s="12" t="s">
        <v>105</v>
      </c>
      <c r="F6" s="12" t="s">
        <v>110</v>
      </c>
      <c r="G6" s="12" t="s">
        <v>111</v>
      </c>
      <c r="H6" s="12" t="s">
        <v>113</v>
      </c>
      <c r="I6" s="12">
        <f>IF(A6="","",COUNTIF('Evidence Matrix'!$A$5:$A$29,A6))</f>
        <v>2</v>
      </c>
      <c r="J6" s="12">
        <f>IF(A6="","",COUNTIFS('Evidence Matrix'!$A$5:$A$29,A6,'Evidence Matrix'!$O$5:$O$29,"Verified"))</f>
        <v>2</v>
      </c>
      <c r="K6" s="12" t="s">
        <v>95</v>
      </c>
    </row>
    <row r="7" ht="54.75" customHeight="1">
      <c r="A7" s="10" t="s">
        <v>65</v>
      </c>
      <c r="B7" s="12" t="s">
        <v>116</v>
      </c>
      <c r="C7" s="12" t="s">
        <v>118</v>
      </c>
      <c r="D7" s="12" t="s">
        <v>120</v>
      </c>
      <c r="E7" s="12" t="s">
        <v>121</v>
      </c>
      <c r="F7" s="12" t="s">
        <v>122</v>
      </c>
      <c r="G7" s="12" t="s">
        <v>123</v>
      </c>
      <c r="H7" s="12" t="s">
        <v>125</v>
      </c>
      <c r="I7" s="12">
        <f>IF(A7="","",COUNTIF('Evidence Matrix'!$A$5:$A$29,A7))</f>
        <v>4</v>
      </c>
      <c r="J7" s="12">
        <f>IF(A7="","",COUNTIFS('Evidence Matrix'!$A$5:$A$29,A7,'Evidence Matrix'!$O$5:$O$29,"Verified"))</f>
        <v>4</v>
      </c>
      <c r="K7" s="12" t="s">
        <v>95</v>
      </c>
    </row>
    <row r="8" ht="54.75" customHeight="1">
      <c r="A8" s="10" t="s">
        <v>82</v>
      </c>
      <c r="B8" s="12" t="s">
        <v>141</v>
      </c>
      <c r="C8" s="12" t="s">
        <v>142</v>
      </c>
      <c r="D8" s="12" t="s">
        <v>143</v>
      </c>
      <c r="E8" s="12" t="s">
        <v>144</v>
      </c>
      <c r="F8" s="12" t="s">
        <v>145</v>
      </c>
      <c r="G8" s="12" t="s">
        <v>146</v>
      </c>
      <c r="H8" s="12" t="s">
        <v>147</v>
      </c>
      <c r="I8" s="12">
        <f>IF(A8="","",COUNTIF('Evidence Matrix'!$A$5:$A$29,A8))</f>
        <v>1</v>
      </c>
      <c r="J8" s="12">
        <f>IF(A8="","",COUNTIFS('Evidence Matrix'!$A$5:$A$29,A8,'Evidence Matrix'!$O$5:$O$29,"Verified"))</f>
        <v>0</v>
      </c>
      <c r="K8" s="12" t="s">
        <v>95</v>
      </c>
    </row>
  </sheetData>
  <autoFilter ref="$A$4:$K$8"/>
  <mergeCells count="1">
    <mergeCell ref="B2:D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47.0"/>
    <col customWidth="1" min="3" max="3" width="26.43"/>
    <col customWidth="1" min="4" max="4" width="32.0"/>
    <col customWidth="1" min="5" max="5" width="11.29"/>
    <col customWidth="1" min="6" max="6" width="55.0"/>
  </cols>
  <sheetData>
    <row r="1" ht="31.5" customHeight="1">
      <c r="A1" s="2"/>
      <c r="B1" s="2"/>
      <c r="C1" s="2"/>
      <c r="D1" s="2"/>
      <c r="E1" s="2"/>
      <c r="F1" s="2"/>
    </row>
    <row r="2" ht="31.5" customHeight="1">
      <c r="A2" s="2"/>
      <c r="B2" s="3" t="s">
        <v>1</v>
      </c>
      <c r="E2" s="2"/>
      <c r="F2" s="2"/>
    </row>
    <row r="3" ht="10.5" customHeight="1">
      <c r="A3" s="2"/>
      <c r="B3" s="2"/>
      <c r="C3" s="2"/>
      <c r="D3" s="2"/>
      <c r="E3" s="2"/>
      <c r="F3" s="2"/>
    </row>
    <row r="4" ht="31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ht="75.0" customHeight="1">
      <c r="A5" s="7" t="s">
        <v>8</v>
      </c>
      <c r="B5" s="9" t="s">
        <v>18</v>
      </c>
      <c r="C5" s="9" t="s">
        <v>21</v>
      </c>
      <c r="D5" s="9" t="s">
        <v>22</v>
      </c>
      <c r="E5" s="9" t="s">
        <v>23</v>
      </c>
      <c r="F5" s="9" t="s">
        <v>25</v>
      </c>
    </row>
    <row r="6" ht="75.0" customHeight="1">
      <c r="A6" s="7" t="s">
        <v>8</v>
      </c>
      <c r="B6" s="9" t="s">
        <v>26</v>
      </c>
      <c r="C6" s="9" t="s">
        <v>27</v>
      </c>
      <c r="D6" s="9" t="s">
        <v>28</v>
      </c>
      <c r="E6" s="9" t="s">
        <v>23</v>
      </c>
      <c r="F6" s="9" t="s">
        <v>30</v>
      </c>
    </row>
    <row r="7" ht="75.0" customHeight="1">
      <c r="A7" s="7" t="s">
        <v>8</v>
      </c>
      <c r="B7" s="9" t="s">
        <v>31</v>
      </c>
      <c r="C7" s="9" t="s">
        <v>33</v>
      </c>
      <c r="D7" s="9" t="s">
        <v>35</v>
      </c>
      <c r="E7" s="9" t="s">
        <v>23</v>
      </c>
      <c r="F7" s="9" t="s">
        <v>43</v>
      </c>
    </row>
    <row r="8" ht="75.0" customHeight="1">
      <c r="A8" s="7" t="s">
        <v>45</v>
      </c>
      <c r="B8" s="9" t="s">
        <v>48</v>
      </c>
      <c r="C8" s="9" t="s">
        <v>51</v>
      </c>
      <c r="D8" s="9" t="s">
        <v>53</v>
      </c>
      <c r="E8" s="9" t="s">
        <v>23</v>
      </c>
      <c r="F8" s="9" t="s">
        <v>55</v>
      </c>
    </row>
    <row r="9" ht="75.0" customHeight="1">
      <c r="A9" s="7" t="s">
        <v>45</v>
      </c>
      <c r="B9" s="9" t="s">
        <v>58</v>
      </c>
      <c r="C9" s="9" t="s">
        <v>59</v>
      </c>
      <c r="D9" s="9" t="s">
        <v>22</v>
      </c>
      <c r="E9" s="9" t="s">
        <v>23</v>
      </c>
      <c r="F9" s="9" t="s">
        <v>61</v>
      </c>
    </row>
    <row r="10" ht="75.0" customHeight="1">
      <c r="A10" s="7" t="s">
        <v>65</v>
      </c>
      <c r="B10" s="9" t="s">
        <v>66</v>
      </c>
      <c r="C10" s="9" t="s">
        <v>67</v>
      </c>
      <c r="D10" s="9" t="s">
        <v>68</v>
      </c>
      <c r="E10" s="9" t="s">
        <v>23</v>
      </c>
      <c r="F10" s="9" t="s">
        <v>70</v>
      </c>
    </row>
    <row r="11" ht="75.0" customHeight="1">
      <c r="A11" s="7" t="s">
        <v>65</v>
      </c>
      <c r="B11" s="9" t="s">
        <v>71</v>
      </c>
      <c r="C11" s="9" t="s">
        <v>73</v>
      </c>
      <c r="D11" s="9" t="s">
        <v>74</v>
      </c>
      <c r="E11" s="9" t="s">
        <v>23</v>
      </c>
      <c r="F11" s="9" t="s">
        <v>76</v>
      </c>
    </row>
    <row r="12" ht="75.0" customHeight="1">
      <c r="A12" s="7" t="s">
        <v>65</v>
      </c>
      <c r="B12" s="9" t="s">
        <v>77</v>
      </c>
      <c r="C12" s="9" t="s">
        <v>78</v>
      </c>
      <c r="D12" s="9" t="s">
        <v>79</v>
      </c>
      <c r="E12" s="9" t="s">
        <v>23</v>
      </c>
      <c r="F12" s="9" t="s">
        <v>80</v>
      </c>
    </row>
    <row r="13" ht="75.0" customHeight="1">
      <c r="A13" s="7" t="s">
        <v>82</v>
      </c>
      <c r="B13" s="9" t="s">
        <v>83</v>
      </c>
      <c r="C13" s="9" t="s">
        <v>84</v>
      </c>
      <c r="D13" s="9" t="s">
        <v>85</v>
      </c>
      <c r="E13" s="9" t="s">
        <v>23</v>
      </c>
      <c r="F13" s="9" t="s">
        <v>86</v>
      </c>
    </row>
    <row r="14" ht="75.0" customHeight="1">
      <c r="A14" s="7" t="s">
        <v>82</v>
      </c>
      <c r="B14" s="9" t="s">
        <v>88</v>
      </c>
      <c r="C14" s="9" t="s">
        <v>90</v>
      </c>
      <c r="D14" s="9" t="s">
        <v>91</v>
      </c>
      <c r="E14" s="9" t="s">
        <v>23</v>
      </c>
      <c r="F14" s="9" t="s">
        <v>94</v>
      </c>
    </row>
    <row r="15" ht="75.0" customHeight="1">
      <c r="A15" s="7" t="s">
        <v>97</v>
      </c>
      <c r="B15" s="9" t="s">
        <v>99</v>
      </c>
      <c r="C15" s="9" t="s">
        <v>101</v>
      </c>
      <c r="D15" s="9" t="s">
        <v>103</v>
      </c>
      <c r="E15" s="9" t="s">
        <v>23</v>
      </c>
      <c r="F15" s="9" t="s">
        <v>106</v>
      </c>
    </row>
    <row r="16" ht="75.0" customHeight="1">
      <c r="A16" s="7" t="s">
        <v>97</v>
      </c>
      <c r="B16" s="9" t="s">
        <v>107</v>
      </c>
      <c r="C16" s="9" t="s">
        <v>108</v>
      </c>
      <c r="D16" s="9" t="s">
        <v>109</v>
      </c>
      <c r="E16" s="9" t="s">
        <v>23</v>
      </c>
      <c r="F16" s="9" t="s">
        <v>112</v>
      </c>
    </row>
  </sheetData>
  <autoFilter ref="$A$4:$F$16"/>
  <mergeCells count="1">
    <mergeCell ref="B2:D2"/>
  </mergeCells>
  <dataValidations>
    <dataValidation type="list" allowBlank="1" showInputMessage="1" showErrorMessage="1" prompt="Click and enter a value from the list of items" sqref="E5:E16">
      <formula1>"Open,In progress,Resolved,Cannot verify"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75.0"/>
    <col customWidth="1" min="4" max="4" width="42.0"/>
  </cols>
  <sheetData>
    <row r="1" ht="31.5" customHeight="1">
      <c r="A1" s="24" t="s">
        <v>172</v>
      </c>
      <c r="B1" s="24" t="s">
        <v>181</v>
      </c>
      <c r="C1" s="24" t="s">
        <v>182</v>
      </c>
      <c r="D1" s="24" t="s">
        <v>183</v>
      </c>
    </row>
    <row r="2" ht="75.0" customHeight="1">
      <c r="A2" s="12" t="s">
        <v>184</v>
      </c>
      <c r="B2" s="12" t="s">
        <v>185</v>
      </c>
      <c r="C2" s="12" t="s">
        <v>186</v>
      </c>
      <c r="D2" s="12" t="s">
        <v>187</v>
      </c>
    </row>
    <row r="3" ht="75.0" customHeight="1">
      <c r="A3" s="12" t="s">
        <v>188</v>
      </c>
      <c r="B3" s="12" t="s">
        <v>189</v>
      </c>
      <c r="C3" s="12" t="s">
        <v>190</v>
      </c>
      <c r="D3" s="12" t="s">
        <v>191</v>
      </c>
    </row>
    <row r="4" ht="75.0" customHeight="1">
      <c r="A4" s="12" t="s">
        <v>188</v>
      </c>
      <c r="B4" s="12" t="s">
        <v>192</v>
      </c>
      <c r="C4" s="12" t="s">
        <v>193</v>
      </c>
      <c r="D4" s="12" t="s">
        <v>194</v>
      </c>
    </row>
    <row r="5" ht="75.0" customHeight="1">
      <c r="A5" s="12" t="s">
        <v>195</v>
      </c>
      <c r="B5" s="12" t="s">
        <v>196</v>
      </c>
      <c r="C5" s="12" t="s">
        <v>197</v>
      </c>
      <c r="D5" s="12" t="s">
        <v>198</v>
      </c>
    </row>
    <row r="6" ht="75.0" customHeight="1">
      <c r="A6" s="12" t="s">
        <v>199</v>
      </c>
      <c r="B6" s="12" t="s">
        <v>201</v>
      </c>
      <c r="C6" s="12" t="s">
        <v>203</v>
      </c>
      <c r="D6" s="12" t="s">
        <v>204</v>
      </c>
    </row>
  </sheetData>
  <autoFilter ref="$A$1:$D$6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2026-10-19T13:28:12Z</dcterms:created>
  <dc:creator>openpyxl</dc:creator>
</cp:coreProperties>
</file>